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49D6FF2-A017-4D61-97CD-0761969E2DE0}" xr6:coauthVersionLast="47" xr6:coauthVersionMax="47" xr10:uidLastSave="{00000000-0000-0000-0000-000000000000}"/>
  <bookViews>
    <workbookView xWindow="-110" yWindow="-110" windowWidth="25820" windowHeight="15500" xr2:uid="{15E097AD-157E-4931-8DA3-9F11B9EFF9F5}"/>
  </bookViews>
  <sheets>
    <sheet name="후판" sheetId="1" r:id="rId1"/>
  </sheets>
  <definedNames>
    <definedName name="_xlnm._FilterDatabase" localSheetId="0" hidden="1">후판!$A$5:$BC$282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0" i="1" l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Z38" i="1"/>
  <c r="Y38" i="1" s="1"/>
  <c r="AE38" i="1"/>
  <c r="AF38" i="1"/>
  <c r="AG38" i="1"/>
  <c r="Z39" i="1"/>
  <c r="Y39" i="1" s="1"/>
  <c r="AE39" i="1"/>
  <c r="AF39" i="1"/>
  <c r="AG39" i="1"/>
  <c r="Z40" i="1"/>
  <c r="Y40" i="1" s="1"/>
  <c r="AE40" i="1"/>
  <c r="AF40" i="1"/>
  <c r="AG40" i="1"/>
  <c r="Z41" i="1"/>
  <c r="Y41" i="1" s="1"/>
  <c r="AE41" i="1"/>
  <c r="AF41" i="1"/>
  <c r="AG41" i="1"/>
  <c r="Z42" i="1"/>
  <c r="Y42" i="1" s="1"/>
  <c r="AE42" i="1"/>
  <c r="AF42" i="1"/>
  <c r="AG42" i="1"/>
  <c r="Z43" i="1"/>
  <c r="Y43" i="1" s="1"/>
  <c r="AE43" i="1"/>
  <c r="AF43" i="1"/>
  <c r="AG43" i="1"/>
  <c r="Z44" i="1"/>
  <c r="Y44" i="1" s="1"/>
  <c r="AE44" i="1"/>
  <c r="AF44" i="1"/>
  <c r="AG44" i="1"/>
  <c r="Z45" i="1"/>
  <c r="Y45" i="1" s="1"/>
  <c r="AE45" i="1"/>
  <c r="AF45" i="1"/>
  <c r="AG45" i="1"/>
  <c r="Z46" i="1"/>
  <c r="Y46" i="1" s="1"/>
  <c r="AE46" i="1"/>
  <c r="AF46" i="1"/>
  <c r="AG46" i="1"/>
  <c r="Z47" i="1"/>
  <c r="Y47" i="1" s="1"/>
  <c r="AE47" i="1"/>
  <c r="AF47" i="1"/>
  <c r="AG47" i="1"/>
  <c r="Z48" i="1"/>
  <c r="Y48" i="1" s="1"/>
  <c r="AE48" i="1"/>
  <c r="AF48" i="1"/>
  <c r="AG48" i="1"/>
  <c r="Z49" i="1"/>
  <c r="Y49" i="1" s="1"/>
  <c r="AE49" i="1"/>
  <c r="AF49" i="1"/>
  <c r="AG49" i="1"/>
  <c r="Z50" i="1"/>
  <c r="Y50" i="1" s="1"/>
  <c r="AE50" i="1"/>
  <c r="AF50" i="1"/>
  <c r="AG50" i="1"/>
  <c r="Z51" i="1"/>
  <c r="Y51" i="1" s="1"/>
  <c r="AE51" i="1"/>
  <c r="AF51" i="1"/>
  <c r="AG51" i="1"/>
  <c r="Z52" i="1"/>
  <c r="Y52" i="1" s="1"/>
  <c r="AE52" i="1"/>
  <c r="AF52" i="1"/>
  <c r="AG52" i="1"/>
  <c r="Z53" i="1"/>
  <c r="Y53" i="1" s="1"/>
  <c r="AE53" i="1"/>
  <c r="AF53" i="1"/>
  <c r="AG53" i="1"/>
  <c r="Z54" i="1"/>
  <c r="Y54" i="1" s="1"/>
  <c r="AE54" i="1"/>
  <c r="AF54" i="1"/>
  <c r="AG54" i="1"/>
  <c r="Z55" i="1"/>
  <c r="Y55" i="1" s="1"/>
  <c r="AE55" i="1"/>
  <c r="AF55" i="1"/>
  <c r="AG55" i="1"/>
  <c r="Z56" i="1"/>
  <c r="Y56" i="1" s="1"/>
  <c r="AE56" i="1"/>
  <c r="AF56" i="1"/>
  <c r="AG56" i="1"/>
  <c r="Z57" i="1"/>
  <c r="Y57" i="1" s="1"/>
  <c r="AE57" i="1"/>
  <c r="AF57" i="1"/>
  <c r="AG57" i="1"/>
  <c r="Z58" i="1"/>
  <c r="Y58" i="1" s="1"/>
  <c r="AE58" i="1"/>
  <c r="AF58" i="1"/>
  <c r="AG58" i="1"/>
  <c r="Z59" i="1"/>
  <c r="Y59" i="1" s="1"/>
  <c r="AE59" i="1"/>
  <c r="AF59" i="1"/>
  <c r="AG59" i="1"/>
  <c r="Z60" i="1"/>
  <c r="Y60" i="1" s="1"/>
  <c r="AE60" i="1"/>
  <c r="AF60" i="1"/>
  <c r="AG60" i="1"/>
  <c r="Z61" i="1"/>
  <c r="Y61" i="1" s="1"/>
  <c r="AE61" i="1"/>
  <c r="AF61" i="1"/>
  <c r="AG61" i="1"/>
  <c r="Z62" i="1"/>
  <c r="Y62" i="1" s="1"/>
  <c r="AE62" i="1"/>
  <c r="AF62" i="1"/>
  <c r="AG62" i="1"/>
  <c r="Z63" i="1"/>
  <c r="Y63" i="1" s="1"/>
  <c r="AE63" i="1"/>
  <c r="AF63" i="1"/>
  <c r="AG63" i="1"/>
  <c r="Z64" i="1"/>
  <c r="Y64" i="1" s="1"/>
  <c r="AE64" i="1"/>
  <c r="AF64" i="1"/>
  <c r="AG64" i="1"/>
  <c r="Z65" i="1"/>
  <c r="Y65" i="1" s="1"/>
  <c r="AE65" i="1"/>
  <c r="AF65" i="1"/>
  <c r="AG65" i="1"/>
  <c r="Z66" i="1"/>
  <c r="Y66" i="1" s="1"/>
  <c r="AE66" i="1"/>
  <c r="AF66" i="1"/>
  <c r="AG66" i="1"/>
  <c r="Z67" i="1"/>
  <c r="Y67" i="1" s="1"/>
  <c r="AE67" i="1"/>
  <c r="AF67" i="1"/>
  <c r="AG67" i="1"/>
  <c r="Z68" i="1"/>
  <c r="Y68" i="1" s="1"/>
  <c r="AE68" i="1"/>
  <c r="AG68" i="1" s="1"/>
  <c r="AF68" i="1"/>
  <c r="Z69" i="1"/>
  <c r="Y69" i="1" s="1"/>
  <c r="AE69" i="1"/>
  <c r="AF69" i="1"/>
  <c r="AG69" i="1"/>
  <c r="AG259" i="1"/>
  <c r="AF259" i="1"/>
  <c r="AE259" i="1"/>
  <c r="AG258" i="1"/>
  <c r="AF258" i="1"/>
  <c r="AE258" i="1"/>
  <c r="AG257" i="1"/>
  <c r="AF257" i="1"/>
  <c r="AE257" i="1"/>
  <c r="AG256" i="1"/>
  <c r="AF256" i="1"/>
  <c r="AE256" i="1"/>
  <c r="AG255" i="1"/>
  <c r="AF255" i="1"/>
  <c r="AE255" i="1"/>
  <c r="AG254" i="1"/>
  <c r="AF254" i="1"/>
  <c r="AE254" i="1"/>
  <c r="AG253" i="1"/>
  <c r="AF253" i="1"/>
  <c r="AE253" i="1"/>
  <c r="AG252" i="1"/>
  <c r="AF252" i="1"/>
  <c r="AE252" i="1"/>
  <c r="AG251" i="1"/>
  <c r="AF251" i="1"/>
  <c r="AE251" i="1"/>
  <c r="AG250" i="1"/>
  <c r="AF250" i="1"/>
  <c r="AE250" i="1"/>
  <c r="AG249" i="1"/>
  <c r="AF249" i="1"/>
  <c r="AE249" i="1"/>
  <c r="AG248" i="1"/>
  <c r="AF248" i="1"/>
  <c r="AE248" i="1"/>
  <c r="AG247" i="1"/>
  <c r="AF247" i="1"/>
  <c r="AE247" i="1"/>
  <c r="AG246" i="1"/>
  <c r="AF246" i="1"/>
  <c r="AE246" i="1"/>
  <c r="AG245" i="1"/>
  <c r="AF245" i="1"/>
  <c r="AE245" i="1"/>
  <c r="AG244" i="1"/>
  <c r="AF244" i="1"/>
  <c r="AE244" i="1"/>
  <c r="AG243" i="1"/>
  <c r="AF243" i="1"/>
  <c r="AE243" i="1"/>
  <c r="AG242" i="1"/>
  <c r="AF242" i="1"/>
  <c r="AE242" i="1"/>
  <c r="AG241" i="1"/>
  <c r="AF241" i="1"/>
  <c r="AE241" i="1"/>
  <c r="AG240" i="1"/>
  <c r="AF240" i="1"/>
  <c r="AE240" i="1"/>
  <c r="AG239" i="1"/>
  <c r="AF239" i="1"/>
  <c r="AE239" i="1"/>
  <c r="AG238" i="1"/>
  <c r="AF238" i="1"/>
  <c r="AE238" i="1"/>
  <c r="AG237" i="1"/>
  <c r="AF237" i="1"/>
  <c r="AE237" i="1"/>
  <c r="AG236" i="1"/>
  <c r="AF236" i="1"/>
  <c r="AE236" i="1"/>
  <c r="AG235" i="1"/>
  <c r="AF235" i="1"/>
  <c r="AE235" i="1"/>
  <c r="AG234" i="1"/>
  <c r="AF234" i="1"/>
  <c r="AE234" i="1"/>
  <c r="AG233" i="1"/>
  <c r="AF233" i="1"/>
  <c r="AE233" i="1"/>
  <c r="AG232" i="1"/>
  <c r="AF232" i="1"/>
  <c r="AE232" i="1"/>
  <c r="AF231" i="1"/>
  <c r="AE231" i="1"/>
  <c r="AG231" i="1" s="1"/>
  <c r="AG230" i="1"/>
  <c r="AF230" i="1"/>
  <c r="AE230" i="1"/>
  <c r="AG229" i="1"/>
  <c r="AF229" i="1"/>
  <c r="AE229" i="1"/>
  <c r="AG228" i="1"/>
  <c r="AF228" i="1"/>
  <c r="AE228" i="1"/>
  <c r="AG227" i="1"/>
  <c r="AF227" i="1"/>
  <c r="AE227" i="1"/>
  <c r="AG226" i="1"/>
  <c r="AF226" i="1"/>
  <c r="AE226" i="1"/>
  <c r="AG225" i="1"/>
  <c r="AF225" i="1"/>
  <c r="AE225" i="1"/>
  <c r="AG224" i="1"/>
  <c r="AF224" i="1"/>
  <c r="AE224" i="1"/>
  <c r="AG223" i="1"/>
  <c r="AF223" i="1"/>
  <c r="AE223" i="1"/>
  <c r="AG222" i="1"/>
  <c r="AF222" i="1"/>
  <c r="AE222" i="1"/>
  <c r="AG221" i="1"/>
  <c r="AF221" i="1"/>
  <c r="AE221" i="1"/>
  <c r="AG220" i="1"/>
  <c r="AF220" i="1"/>
  <c r="AE220" i="1"/>
  <c r="AG219" i="1"/>
  <c r="AF219" i="1"/>
  <c r="AE219" i="1"/>
  <c r="AG218" i="1"/>
  <c r="AF218" i="1"/>
  <c r="AE218" i="1"/>
  <c r="AG217" i="1"/>
  <c r="AF217" i="1"/>
  <c r="AE217" i="1"/>
  <c r="AG216" i="1"/>
  <c r="AF216" i="1"/>
  <c r="AE216" i="1"/>
  <c r="AG215" i="1"/>
  <c r="AF215" i="1"/>
  <c r="AE215" i="1"/>
  <c r="AG214" i="1"/>
  <c r="AF214" i="1"/>
  <c r="AE214" i="1"/>
  <c r="AG213" i="1"/>
  <c r="AF213" i="1"/>
  <c r="AE213" i="1"/>
  <c r="AG212" i="1"/>
  <c r="AF212" i="1"/>
  <c r="AE212" i="1"/>
  <c r="AG211" i="1"/>
  <c r="AF211" i="1"/>
  <c r="AE211" i="1"/>
  <c r="AG210" i="1"/>
  <c r="AF210" i="1"/>
  <c r="AE210" i="1"/>
  <c r="AG209" i="1"/>
  <c r="AF209" i="1"/>
  <c r="AE209" i="1"/>
  <c r="AG208" i="1"/>
  <c r="AF208" i="1"/>
  <c r="AE208" i="1"/>
  <c r="AG207" i="1"/>
  <c r="AF207" i="1"/>
  <c r="AE207" i="1"/>
  <c r="AG206" i="1"/>
  <c r="AF206" i="1"/>
  <c r="AE206" i="1"/>
  <c r="AG205" i="1"/>
  <c r="AF205" i="1"/>
  <c r="AE205" i="1"/>
  <c r="AG204" i="1"/>
  <c r="AF204" i="1"/>
  <c r="AE204" i="1"/>
  <c r="AG203" i="1"/>
  <c r="AF203" i="1"/>
  <c r="AE203" i="1"/>
  <c r="AG202" i="1"/>
  <c r="AF202" i="1"/>
  <c r="AE202" i="1"/>
  <c r="AG201" i="1"/>
  <c r="AF201" i="1"/>
  <c r="AE201" i="1"/>
  <c r="AG200" i="1"/>
  <c r="AF200" i="1"/>
  <c r="AE200" i="1"/>
  <c r="AG199" i="1"/>
  <c r="AF199" i="1"/>
  <c r="AE199" i="1"/>
  <c r="AG198" i="1"/>
  <c r="AF198" i="1"/>
  <c r="AE198" i="1"/>
  <c r="AG197" i="1"/>
  <c r="AF197" i="1"/>
  <c r="AE197" i="1"/>
  <c r="AG196" i="1"/>
  <c r="AF196" i="1"/>
  <c r="AE196" i="1"/>
  <c r="AG195" i="1"/>
  <c r="AF195" i="1"/>
  <c r="AE195" i="1"/>
  <c r="AG194" i="1"/>
  <c r="AF194" i="1"/>
  <c r="AE194" i="1"/>
  <c r="AG193" i="1"/>
  <c r="AF193" i="1"/>
  <c r="AE193" i="1"/>
  <c r="AG192" i="1"/>
  <c r="AF192" i="1"/>
  <c r="AE192" i="1"/>
  <c r="AF191" i="1"/>
  <c r="AE191" i="1"/>
  <c r="AG191" i="1" s="1"/>
  <c r="AG190" i="1"/>
  <c r="AF190" i="1"/>
  <c r="AE190" i="1"/>
  <c r="AG189" i="1"/>
  <c r="AF189" i="1"/>
  <c r="AE189" i="1"/>
  <c r="AG188" i="1"/>
  <c r="AF188" i="1"/>
  <c r="AE188" i="1"/>
  <c r="AG187" i="1"/>
  <c r="AF187" i="1"/>
  <c r="AE187" i="1"/>
  <c r="AG186" i="1"/>
  <c r="AF186" i="1"/>
  <c r="AE186" i="1"/>
  <c r="AG185" i="1"/>
  <c r="AF185" i="1"/>
  <c r="AE185" i="1"/>
  <c r="AG184" i="1"/>
  <c r="AF184" i="1"/>
  <c r="AE184" i="1"/>
  <c r="AG183" i="1"/>
  <c r="AF183" i="1"/>
  <c r="AE183" i="1"/>
  <c r="AG182" i="1"/>
  <c r="AF182" i="1"/>
  <c r="AE182" i="1"/>
  <c r="AG181" i="1"/>
  <c r="AF181" i="1"/>
  <c r="AE181" i="1"/>
  <c r="AG180" i="1"/>
  <c r="AF180" i="1"/>
  <c r="AE180" i="1"/>
  <c r="AG179" i="1"/>
  <c r="AF179" i="1"/>
  <c r="AE179" i="1"/>
  <c r="AG178" i="1"/>
  <c r="AF178" i="1"/>
  <c r="AE178" i="1"/>
  <c r="AG177" i="1"/>
  <c r="AF177" i="1"/>
  <c r="AE177" i="1"/>
  <c r="AG176" i="1"/>
  <c r="AF176" i="1"/>
  <c r="AE176" i="1"/>
  <c r="AG175" i="1"/>
  <c r="AF175" i="1"/>
  <c r="AE175" i="1"/>
  <c r="AG174" i="1"/>
  <c r="AF174" i="1"/>
  <c r="AE174" i="1"/>
  <c r="AG173" i="1"/>
  <c r="AF173" i="1"/>
  <c r="AE173" i="1"/>
  <c r="AG172" i="1"/>
  <c r="AF172" i="1"/>
  <c r="AE172" i="1"/>
  <c r="AG171" i="1"/>
  <c r="AF171" i="1"/>
  <c r="AE171" i="1"/>
  <c r="AG170" i="1"/>
  <c r="AF170" i="1"/>
  <c r="AE170" i="1"/>
  <c r="AG169" i="1"/>
  <c r="AF169" i="1"/>
  <c r="AE169" i="1"/>
  <c r="AG168" i="1"/>
  <c r="AF168" i="1"/>
  <c r="AE168" i="1"/>
  <c r="AG167" i="1"/>
  <c r="AF167" i="1"/>
  <c r="AE167" i="1"/>
  <c r="AG166" i="1"/>
  <c r="AF166" i="1"/>
  <c r="AE166" i="1"/>
  <c r="AG165" i="1"/>
  <c r="AF165" i="1"/>
  <c r="AE165" i="1"/>
  <c r="AG164" i="1"/>
  <c r="AF164" i="1"/>
  <c r="AE164" i="1"/>
  <c r="AG163" i="1"/>
  <c r="AF163" i="1"/>
  <c r="AE163" i="1"/>
  <c r="AG162" i="1"/>
  <c r="AF162" i="1"/>
  <c r="AE162" i="1"/>
  <c r="AG161" i="1"/>
  <c r="AF161" i="1"/>
  <c r="AE161" i="1"/>
  <c r="AG160" i="1"/>
  <c r="AF160" i="1"/>
  <c r="AE160" i="1"/>
  <c r="AG159" i="1"/>
  <c r="AF159" i="1"/>
  <c r="AE159" i="1"/>
  <c r="AG158" i="1"/>
  <c r="AF158" i="1"/>
  <c r="AE158" i="1"/>
  <c r="AG157" i="1"/>
  <c r="AF157" i="1"/>
  <c r="AE157" i="1"/>
  <c r="AG156" i="1"/>
  <c r="AF156" i="1"/>
  <c r="AE156" i="1"/>
  <c r="AG155" i="1"/>
  <c r="AF155" i="1"/>
  <c r="AE155" i="1"/>
  <c r="AG154" i="1"/>
  <c r="AF154" i="1"/>
  <c r="AE154" i="1"/>
  <c r="AG153" i="1"/>
  <c r="AF153" i="1"/>
  <c r="AE153" i="1"/>
  <c r="AG152" i="1"/>
  <c r="AF152" i="1"/>
  <c r="AE152" i="1"/>
  <c r="AG151" i="1"/>
  <c r="AF151" i="1"/>
  <c r="AE151" i="1"/>
  <c r="AF150" i="1"/>
  <c r="AE150" i="1"/>
  <c r="AG150" i="1" s="1"/>
  <c r="AG149" i="1"/>
  <c r="AF149" i="1"/>
  <c r="AE149" i="1"/>
  <c r="AG148" i="1"/>
  <c r="AF148" i="1"/>
  <c r="AE148" i="1"/>
  <c r="AG147" i="1"/>
  <c r="AF147" i="1"/>
  <c r="AE147" i="1"/>
  <c r="AG146" i="1"/>
  <c r="AF146" i="1"/>
  <c r="AE146" i="1"/>
  <c r="AG145" i="1"/>
  <c r="AF145" i="1"/>
  <c r="AE145" i="1"/>
  <c r="AG144" i="1"/>
  <c r="AF144" i="1"/>
  <c r="AE144" i="1"/>
  <c r="AG143" i="1"/>
  <c r="AF143" i="1"/>
  <c r="AE143" i="1"/>
  <c r="AG142" i="1"/>
  <c r="AF142" i="1"/>
  <c r="AE142" i="1"/>
  <c r="AG141" i="1"/>
  <c r="AF141" i="1"/>
  <c r="AE141" i="1"/>
  <c r="AG140" i="1"/>
  <c r="AF140" i="1"/>
  <c r="AE140" i="1"/>
  <c r="AF139" i="1"/>
  <c r="AE139" i="1"/>
  <c r="AG139" i="1" s="1"/>
  <c r="AG138" i="1"/>
  <c r="AF138" i="1"/>
  <c r="AE138" i="1"/>
  <c r="AG137" i="1"/>
  <c r="AF137" i="1"/>
  <c r="AE137" i="1"/>
  <c r="AG136" i="1"/>
  <c r="AF136" i="1"/>
  <c r="AE136" i="1"/>
  <c r="AG135" i="1"/>
  <c r="AF135" i="1"/>
  <c r="AE135" i="1"/>
  <c r="AG134" i="1"/>
  <c r="AF134" i="1"/>
  <c r="AE134" i="1"/>
  <c r="AG133" i="1"/>
  <c r="AF133" i="1"/>
  <c r="AE133" i="1"/>
  <c r="AG132" i="1"/>
  <c r="AF132" i="1"/>
  <c r="AE132" i="1"/>
  <c r="AG131" i="1"/>
  <c r="AF131" i="1"/>
  <c r="AE131" i="1"/>
  <c r="AG130" i="1"/>
  <c r="AF130" i="1"/>
  <c r="AE130" i="1"/>
  <c r="AG129" i="1"/>
  <c r="AF129" i="1"/>
  <c r="AE129" i="1"/>
  <c r="AG128" i="1"/>
  <c r="AF128" i="1"/>
  <c r="AE128" i="1"/>
  <c r="AG127" i="1"/>
  <c r="AF127" i="1"/>
  <c r="AE127" i="1"/>
  <c r="AG126" i="1"/>
  <c r="AF126" i="1"/>
  <c r="AE126" i="1"/>
  <c r="AG125" i="1"/>
  <c r="AF125" i="1"/>
  <c r="AE125" i="1"/>
  <c r="AG124" i="1"/>
  <c r="AF124" i="1"/>
  <c r="AE124" i="1"/>
  <c r="AG123" i="1"/>
  <c r="AF123" i="1"/>
  <c r="AE123" i="1"/>
  <c r="AG122" i="1"/>
  <c r="AF122" i="1"/>
  <c r="AE122" i="1"/>
  <c r="AG121" i="1"/>
  <c r="AF121" i="1"/>
  <c r="AE121" i="1"/>
  <c r="AG120" i="1"/>
  <c r="AF120" i="1"/>
  <c r="AE120" i="1"/>
  <c r="AG119" i="1"/>
  <c r="AF119" i="1"/>
  <c r="AE119" i="1"/>
  <c r="AG118" i="1"/>
  <c r="AF118" i="1"/>
  <c r="AE118" i="1"/>
  <c r="AG117" i="1"/>
  <c r="AF117" i="1"/>
  <c r="AE117" i="1"/>
  <c r="AG116" i="1"/>
  <c r="AF116" i="1"/>
  <c r="AE116" i="1"/>
  <c r="AG115" i="1"/>
  <c r="AF115" i="1"/>
  <c r="AE115" i="1"/>
  <c r="AG114" i="1"/>
  <c r="AF114" i="1"/>
  <c r="AE114" i="1"/>
  <c r="AG113" i="1"/>
  <c r="AF113" i="1"/>
  <c r="AE113" i="1"/>
  <c r="AG112" i="1"/>
  <c r="AF112" i="1"/>
  <c r="AE112" i="1"/>
  <c r="AG111" i="1"/>
  <c r="AF111" i="1"/>
  <c r="AE111" i="1"/>
  <c r="AG110" i="1"/>
  <c r="AF110" i="1"/>
  <c r="AE110" i="1"/>
  <c r="AF109" i="1"/>
  <c r="AE109" i="1"/>
  <c r="AG109" i="1" s="1"/>
  <c r="AG108" i="1"/>
  <c r="AF108" i="1"/>
  <c r="AE108" i="1"/>
  <c r="AG107" i="1"/>
  <c r="AF107" i="1"/>
  <c r="AE107" i="1"/>
  <c r="AG106" i="1"/>
  <c r="AF106" i="1"/>
  <c r="AE106" i="1"/>
  <c r="AG105" i="1"/>
  <c r="AF105" i="1"/>
  <c r="AE105" i="1"/>
  <c r="AG104" i="1"/>
  <c r="AF104" i="1"/>
  <c r="AE104" i="1"/>
  <c r="AG103" i="1"/>
  <c r="AF103" i="1"/>
  <c r="AE103" i="1"/>
  <c r="AG102" i="1"/>
  <c r="AF102" i="1"/>
  <c r="AE102" i="1"/>
  <c r="AG101" i="1"/>
  <c r="AF101" i="1"/>
  <c r="AE101" i="1"/>
  <c r="AG100" i="1"/>
  <c r="AF100" i="1"/>
  <c r="AE100" i="1"/>
  <c r="AG99" i="1"/>
  <c r="AF99" i="1"/>
  <c r="AE99" i="1"/>
  <c r="AF98" i="1"/>
  <c r="AE98" i="1"/>
  <c r="AG98" i="1" s="1"/>
  <c r="AG97" i="1"/>
  <c r="AF97" i="1"/>
  <c r="AE97" i="1"/>
  <c r="AG96" i="1"/>
  <c r="AF96" i="1"/>
  <c r="AE96" i="1"/>
  <c r="AG95" i="1"/>
  <c r="AF95" i="1"/>
  <c r="AE95" i="1"/>
  <c r="AG94" i="1"/>
  <c r="AF94" i="1"/>
  <c r="AE94" i="1"/>
  <c r="AG93" i="1"/>
  <c r="AF93" i="1"/>
  <c r="AE93" i="1"/>
  <c r="AG92" i="1"/>
  <c r="AF92" i="1"/>
  <c r="AE92" i="1"/>
  <c r="AG91" i="1"/>
  <c r="AF91" i="1"/>
  <c r="AE91" i="1"/>
  <c r="AG90" i="1"/>
  <c r="AF90" i="1"/>
  <c r="AE90" i="1"/>
  <c r="AG89" i="1"/>
  <c r="AF89" i="1"/>
  <c r="AE89" i="1"/>
  <c r="AG88" i="1"/>
  <c r="AF88" i="1"/>
  <c r="AE88" i="1"/>
  <c r="AG87" i="1"/>
  <c r="AF87" i="1"/>
  <c r="AE87" i="1"/>
  <c r="AG86" i="1"/>
  <c r="AF86" i="1"/>
  <c r="AE86" i="1"/>
  <c r="AG85" i="1"/>
  <c r="AF85" i="1"/>
  <c r="AE85" i="1"/>
  <c r="AG84" i="1"/>
  <c r="AF84" i="1"/>
  <c r="AE84" i="1"/>
  <c r="AG83" i="1"/>
  <c r="AF83" i="1"/>
  <c r="AE83" i="1"/>
  <c r="AG82" i="1"/>
  <c r="AF82" i="1"/>
  <c r="AE82" i="1"/>
  <c r="AG81" i="1"/>
  <c r="AF81" i="1"/>
  <c r="AE81" i="1"/>
  <c r="AG80" i="1"/>
  <c r="AF80" i="1"/>
  <c r="AE80" i="1"/>
  <c r="AG79" i="1"/>
  <c r="AF79" i="1"/>
  <c r="AE79" i="1"/>
  <c r="AG78" i="1"/>
  <c r="AF78" i="1"/>
  <c r="AE78" i="1"/>
  <c r="AG77" i="1"/>
  <c r="AF77" i="1"/>
  <c r="AE77" i="1"/>
  <c r="AG76" i="1"/>
  <c r="AF76" i="1"/>
  <c r="AE76" i="1"/>
  <c r="AG75" i="1"/>
  <c r="AF75" i="1"/>
  <c r="AE75" i="1"/>
  <c r="AG74" i="1"/>
  <c r="AF74" i="1"/>
  <c r="AE74" i="1"/>
  <c r="AG73" i="1"/>
  <c r="AF73" i="1"/>
  <c r="AE73" i="1"/>
  <c r="AG72" i="1"/>
  <c r="AF72" i="1"/>
  <c r="AE72" i="1"/>
  <c r="AG71" i="1"/>
  <c r="AF71" i="1"/>
  <c r="AE71" i="1"/>
  <c r="AG70" i="1"/>
  <c r="AF70" i="1"/>
  <c r="AE70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Z282" i="1"/>
  <c r="Y282" i="1" s="1"/>
  <c r="Z281" i="1"/>
  <c r="Y281" i="1" s="1"/>
  <c r="Z280" i="1"/>
  <c r="Y280" i="1" s="1"/>
  <c r="Z279" i="1"/>
  <c r="Y279" i="1" s="1"/>
  <c r="Z278" i="1"/>
  <c r="Y278" i="1" s="1"/>
  <c r="Z277" i="1"/>
  <c r="Y277" i="1" s="1"/>
  <c r="Z276" i="1"/>
  <c r="Y276" i="1" s="1"/>
  <c r="Z275" i="1"/>
  <c r="Y275" i="1" s="1"/>
  <c r="Z274" i="1"/>
  <c r="Y274" i="1" s="1"/>
  <c r="Z273" i="1"/>
  <c r="Y273" i="1" s="1"/>
  <c r="Z272" i="1"/>
  <c r="Y272" i="1" s="1"/>
  <c r="Z271" i="1"/>
  <c r="Y271" i="1" s="1"/>
  <c r="Z270" i="1"/>
  <c r="Y270" i="1" s="1"/>
  <c r="Z269" i="1"/>
  <c r="Y269" i="1" s="1"/>
  <c r="Z268" i="1"/>
  <c r="Y268" i="1" s="1"/>
  <c r="Z267" i="1"/>
  <c r="Y267" i="1" s="1"/>
  <c r="Z266" i="1"/>
  <c r="Y266" i="1" s="1"/>
  <c r="Z265" i="1"/>
  <c r="Y265" i="1" s="1"/>
  <c r="Z264" i="1"/>
  <c r="Y264" i="1" s="1"/>
  <c r="Z263" i="1"/>
  <c r="Y263" i="1" s="1"/>
  <c r="Z262" i="1"/>
  <c r="Y262" i="1" s="1"/>
  <c r="Z261" i="1"/>
  <c r="Y261" i="1" s="1"/>
  <c r="Z260" i="1"/>
  <c r="Y260" i="1" s="1"/>
  <c r="Z259" i="1"/>
  <c r="Y259" i="1" s="1"/>
  <c r="Z258" i="1"/>
  <c r="Y258" i="1" s="1"/>
  <c r="Z257" i="1"/>
  <c r="Y257" i="1" s="1"/>
  <c r="Z256" i="1"/>
  <c r="Y256" i="1" s="1"/>
  <c r="Z255" i="1"/>
  <c r="Y255" i="1" s="1"/>
  <c r="Z254" i="1"/>
  <c r="Y254" i="1" s="1"/>
  <c r="Z253" i="1"/>
  <c r="Y253" i="1" s="1"/>
  <c r="Z252" i="1"/>
  <c r="Y252" i="1" s="1"/>
  <c r="Z251" i="1"/>
  <c r="Y251" i="1" s="1"/>
  <c r="Z250" i="1"/>
  <c r="Y250" i="1" s="1"/>
  <c r="Z249" i="1"/>
  <c r="Y249" i="1" s="1"/>
  <c r="Z248" i="1"/>
  <c r="Y248" i="1" s="1"/>
  <c r="Z247" i="1"/>
  <c r="Y247" i="1" s="1"/>
  <c r="Z246" i="1"/>
  <c r="Y246" i="1" s="1"/>
  <c r="Z245" i="1"/>
  <c r="Y245" i="1" s="1"/>
  <c r="Z244" i="1"/>
  <c r="Y244" i="1" s="1"/>
  <c r="Z243" i="1"/>
  <c r="Y243" i="1" s="1"/>
  <c r="Z242" i="1"/>
  <c r="Y242" i="1" s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AD69" i="1" l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K240" i="1"/>
  <c r="AJ240" i="1"/>
  <c r="BC240" i="1"/>
  <c r="BB240" i="1"/>
  <c r="BA240" i="1"/>
  <c r="BC239" i="1"/>
  <c r="AJ238" i="1"/>
  <c r="AK237" i="1"/>
  <c r="BA236" i="1"/>
  <c r="AK236" i="1"/>
  <c r="AK234" i="1"/>
  <c r="AJ234" i="1"/>
  <c r="BC234" i="1"/>
  <c r="BB234" i="1"/>
  <c r="BA234" i="1"/>
  <c r="BC233" i="1"/>
  <c r="AJ232" i="1"/>
  <c r="AK231" i="1"/>
  <c r="BA230" i="1"/>
  <c r="AK230" i="1"/>
  <c r="BC229" i="1"/>
  <c r="AK228" i="1"/>
  <c r="AJ228" i="1"/>
  <c r="BC228" i="1"/>
  <c r="BB228" i="1"/>
  <c r="BA228" i="1"/>
  <c r="AI227" i="1"/>
  <c r="BC227" i="1"/>
  <c r="AK225" i="1"/>
  <c r="AK224" i="1"/>
  <c r="BC223" i="1"/>
  <c r="BB222" i="1"/>
  <c r="BC221" i="1"/>
  <c r="AK220" i="1"/>
  <c r="AJ220" i="1"/>
  <c r="AD220" i="1"/>
  <c r="AH220" i="1" s="1"/>
  <c r="AK219" i="1"/>
  <c r="AK218" i="1"/>
  <c r="AJ218" i="1"/>
  <c r="AI218" i="1"/>
  <c r="AH218" i="1"/>
  <c r="BA218" i="1"/>
  <c r="AK217" i="1"/>
  <c r="AJ217" i="1"/>
  <c r="AI217" i="1"/>
  <c r="AH217" i="1"/>
  <c r="AK216" i="1"/>
  <c r="AJ216" i="1"/>
  <c r="AI216" i="1"/>
  <c r="AH216" i="1"/>
  <c r="AK215" i="1"/>
  <c r="AJ215" i="1"/>
  <c r="AI215" i="1"/>
  <c r="AH215" i="1"/>
  <c r="AK214" i="1"/>
  <c r="AJ214" i="1"/>
  <c r="AI214" i="1"/>
  <c r="AH214" i="1"/>
  <c r="AK213" i="1"/>
  <c r="AJ213" i="1"/>
  <c r="AI213" i="1"/>
  <c r="AH213" i="1"/>
  <c r="AK212" i="1"/>
  <c r="AJ212" i="1"/>
  <c r="AI212" i="1"/>
  <c r="AH212" i="1"/>
  <c r="AK211" i="1"/>
  <c r="AJ211" i="1"/>
  <c r="AI211" i="1"/>
  <c r="AH211" i="1"/>
  <c r="AK210" i="1"/>
  <c r="AJ210" i="1"/>
  <c r="AI210" i="1"/>
  <c r="AH210" i="1"/>
  <c r="AK209" i="1"/>
  <c r="AJ209" i="1"/>
  <c r="AI209" i="1"/>
  <c r="AH209" i="1"/>
  <c r="AK208" i="1"/>
  <c r="AJ208" i="1"/>
  <c r="AI208" i="1"/>
  <c r="AH208" i="1"/>
  <c r="AK207" i="1"/>
  <c r="AJ207" i="1"/>
  <c r="AI207" i="1"/>
  <c r="AH207" i="1"/>
  <c r="AK206" i="1"/>
  <c r="AJ206" i="1"/>
  <c r="AI206" i="1"/>
  <c r="AH206" i="1"/>
  <c r="AK205" i="1"/>
  <c r="AJ205" i="1"/>
  <c r="AI205" i="1"/>
  <c r="AH205" i="1"/>
  <c r="AK204" i="1"/>
  <c r="AJ204" i="1"/>
  <c r="AI204" i="1"/>
  <c r="AH204" i="1"/>
  <c r="AK203" i="1"/>
  <c r="AJ203" i="1"/>
  <c r="AI203" i="1"/>
  <c r="AH203" i="1"/>
  <c r="AK202" i="1"/>
  <c r="AJ202" i="1"/>
  <c r="AI202" i="1"/>
  <c r="AH202" i="1"/>
  <c r="AK201" i="1"/>
  <c r="AK200" i="1"/>
  <c r="BA198" i="1"/>
  <c r="AK197" i="1"/>
  <c r="AI197" i="1"/>
  <c r="BC197" i="1"/>
  <c r="BB195" i="1"/>
  <c r="AK195" i="1"/>
  <c r="AK194" i="1"/>
  <c r="BB192" i="1"/>
  <c r="BA192" i="1"/>
  <c r="AK191" i="1"/>
  <c r="AI191" i="1"/>
  <c r="BC191" i="1"/>
  <c r="BB189" i="1"/>
  <c r="AK189" i="1"/>
  <c r="AJ187" i="1"/>
  <c r="BC187" i="1"/>
  <c r="BB187" i="1"/>
  <c r="BA187" i="1"/>
  <c r="BA186" i="1"/>
  <c r="BC185" i="1"/>
  <c r="AK184" i="1"/>
  <c r="AJ184" i="1"/>
  <c r="AK183" i="1"/>
  <c r="AJ181" i="1"/>
  <c r="BA180" i="1"/>
  <c r="AI179" i="1"/>
  <c r="BC179" i="1"/>
  <c r="AK178" i="1"/>
  <c r="AJ178" i="1"/>
  <c r="AI178" i="1"/>
  <c r="AH178" i="1"/>
  <c r="AD178" i="1"/>
  <c r="AK177" i="1"/>
  <c r="AJ177" i="1"/>
  <c r="AI177" i="1"/>
  <c r="AH177" i="1"/>
  <c r="BB177" i="1"/>
  <c r="AK176" i="1"/>
  <c r="AJ176" i="1"/>
  <c r="AI176" i="1"/>
  <c r="AH176" i="1"/>
  <c r="AK175" i="1"/>
  <c r="AJ175" i="1"/>
  <c r="AI175" i="1"/>
  <c r="AH175" i="1"/>
  <c r="AK174" i="1"/>
  <c r="AJ174" i="1"/>
  <c r="AI174" i="1"/>
  <c r="AH174" i="1"/>
  <c r="AK173" i="1"/>
  <c r="AJ173" i="1"/>
  <c r="AI173" i="1"/>
  <c r="AH173" i="1"/>
  <c r="AK172" i="1"/>
  <c r="AJ172" i="1"/>
  <c r="AI172" i="1"/>
  <c r="AH172" i="1"/>
  <c r="AK171" i="1"/>
  <c r="AJ171" i="1"/>
  <c r="AI171" i="1"/>
  <c r="AH171" i="1"/>
  <c r="AK170" i="1"/>
  <c r="AJ170" i="1"/>
  <c r="AI170" i="1"/>
  <c r="AH170" i="1"/>
  <c r="AK169" i="1"/>
  <c r="AJ169" i="1"/>
  <c r="AI169" i="1"/>
  <c r="AH169" i="1"/>
  <c r="AK168" i="1"/>
  <c r="AJ168" i="1"/>
  <c r="AI168" i="1"/>
  <c r="AH168" i="1"/>
  <c r="AK167" i="1"/>
  <c r="AJ167" i="1"/>
  <c r="AI167" i="1"/>
  <c r="AH167" i="1"/>
  <c r="AK166" i="1"/>
  <c r="AJ166" i="1"/>
  <c r="AI166" i="1"/>
  <c r="AH166" i="1"/>
  <c r="AK165" i="1"/>
  <c r="AJ165" i="1"/>
  <c r="AI165" i="1"/>
  <c r="AH165" i="1"/>
  <c r="AK164" i="1"/>
  <c r="AJ164" i="1"/>
  <c r="AI164" i="1"/>
  <c r="AH164" i="1"/>
  <c r="AK163" i="1"/>
  <c r="AJ163" i="1"/>
  <c r="AI163" i="1"/>
  <c r="AH163" i="1"/>
  <c r="AK162" i="1"/>
  <c r="AJ162" i="1"/>
  <c r="AI162" i="1"/>
  <c r="AH162" i="1"/>
  <c r="AK161" i="1"/>
  <c r="AJ161" i="1"/>
  <c r="AI161" i="1"/>
  <c r="AH161" i="1"/>
  <c r="BC160" i="1"/>
  <c r="BB159" i="1"/>
  <c r="AK159" i="1"/>
  <c r="AK158" i="1"/>
  <c r="BC157" i="1"/>
  <c r="AK156" i="1"/>
  <c r="AJ156" i="1"/>
  <c r="BC156" i="1"/>
  <c r="BA155" i="1"/>
  <c r="AK155" i="1"/>
  <c r="AK153" i="1"/>
  <c r="AJ153" i="1"/>
  <c r="BA152" i="1"/>
  <c r="BC151" i="1"/>
  <c r="AK150" i="1"/>
  <c r="AJ150" i="1"/>
  <c r="BC150" i="1"/>
  <c r="AK149" i="1"/>
  <c r="AK147" i="1"/>
  <c r="AJ147" i="1"/>
  <c r="AI147" i="1"/>
  <c r="BC147" i="1"/>
  <c r="BB147" i="1"/>
  <c r="BA147" i="1"/>
  <c r="BA146" i="1"/>
  <c r="BC145" i="1"/>
  <c r="AK144" i="1"/>
  <c r="AJ144" i="1"/>
  <c r="BC144" i="1"/>
  <c r="BA143" i="1"/>
  <c r="AK143" i="1"/>
  <c r="BA142" i="1"/>
  <c r="AK141" i="1"/>
  <c r="AJ141" i="1"/>
  <c r="AI141" i="1"/>
  <c r="BC141" i="1"/>
  <c r="BB141" i="1"/>
  <c r="BA141" i="1"/>
  <c r="BA140" i="1"/>
  <c r="BC139" i="1"/>
  <c r="AK138" i="1"/>
  <c r="AJ138" i="1"/>
  <c r="AD138" i="1"/>
  <c r="AH138" i="1" s="1"/>
  <c r="BC138" i="1"/>
  <c r="AK137" i="1"/>
  <c r="AJ137" i="1"/>
  <c r="AI137" i="1"/>
  <c r="AH137" i="1"/>
  <c r="AK136" i="1"/>
  <c r="AJ136" i="1"/>
  <c r="AI136" i="1"/>
  <c r="AH136" i="1"/>
  <c r="BA136" i="1"/>
  <c r="AK135" i="1"/>
  <c r="AJ135" i="1"/>
  <c r="AI135" i="1"/>
  <c r="AH135" i="1"/>
  <c r="AK134" i="1"/>
  <c r="AJ134" i="1"/>
  <c r="AI134" i="1"/>
  <c r="AH134" i="1"/>
  <c r="AK133" i="1"/>
  <c r="AJ133" i="1"/>
  <c r="AI133" i="1"/>
  <c r="AH133" i="1"/>
  <c r="AK132" i="1"/>
  <c r="AJ132" i="1"/>
  <c r="AI132" i="1"/>
  <c r="AH132" i="1"/>
  <c r="AK131" i="1"/>
  <c r="AJ131" i="1"/>
  <c r="AI131" i="1"/>
  <c r="AH131" i="1"/>
  <c r="AK130" i="1"/>
  <c r="AJ130" i="1"/>
  <c r="AI130" i="1"/>
  <c r="AH130" i="1"/>
  <c r="AK129" i="1"/>
  <c r="AJ129" i="1"/>
  <c r="AI129" i="1"/>
  <c r="AH129" i="1"/>
  <c r="AK128" i="1"/>
  <c r="AJ128" i="1"/>
  <c r="AI128" i="1"/>
  <c r="AH128" i="1"/>
  <c r="AK127" i="1"/>
  <c r="AJ127" i="1"/>
  <c r="AI127" i="1"/>
  <c r="AH127" i="1"/>
  <c r="AK126" i="1"/>
  <c r="AJ126" i="1"/>
  <c r="AI126" i="1"/>
  <c r="AH126" i="1"/>
  <c r="AK125" i="1"/>
  <c r="AJ125" i="1"/>
  <c r="AI125" i="1"/>
  <c r="AH125" i="1"/>
  <c r="AK124" i="1"/>
  <c r="AJ124" i="1"/>
  <c r="AI124" i="1"/>
  <c r="AH124" i="1"/>
  <c r="AK123" i="1"/>
  <c r="AJ123" i="1"/>
  <c r="AI123" i="1"/>
  <c r="AH123" i="1"/>
  <c r="AK122" i="1"/>
  <c r="AJ122" i="1"/>
  <c r="AI122" i="1"/>
  <c r="AH122" i="1"/>
  <c r="AK121" i="1"/>
  <c r="AJ121" i="1"/>
  <c r="AI121" i="1"/>
  <c r="AH121" i="1"/>
  <c r="AK120" i="1"/>
  <c r="AJ120" i="1"/>
  <c r="AI120" i="1"/>
  <c r="AH120" i="1"/>
  <c r="AK119" i="1"/>
  <c r="BA118" i="1"/>
  <c r="AK117" i="1"/>
  <c r="AK116" i="1"/>
  <c r="BC116" i="1"/>
  <c r="BB116" i="1"/>
  <c r="BA116" i="1"/>
  <c r="BC115" i="1"/>
  <c r="BC114" i="1"/>
  <c r="AK113" i="1"/>
  <c r="BA112" i="1"/>
  <c r="AK111" i="1"/>
  <c r="AK110" i="1"/>
  <c r="BC110" i="1"/>
  <c r="BB110" i="1"/>
  <c r="BA110" i="1"/>
  <c r="BC109" i="1"/>
  <c r="BC108" i="1"/>
  <c r="BC107" i="1"/>
  <c r="AK107" i="1"/>
  <c r="AK105" i="1"/>
  <c r="AJ105" i="1"/>
  <c r="BA104" i="1"/>
  <c r="BC103" i="1"/>
  <c r="AK102" i="1"/>
  <c r="AJ102" i="1"/>
  <c r="BC102" i="1"/>
  <c r="AK101" i="1"/>
  <c r="AK99" i="1"/>
  <c r="AJ99" i="1"/>
  <c r="AI99" i="1"/>
  <c r="BC99" i="1"/>
  <c r="BB99" i="1"/>
  <c r="BA99" i="1"/>
  <c r="BA98" i="1"/>
  <c r="AK97" i="1"/>
  <c r="AJ97" i="1"/>
  <c r="AI97" i="1"/>
  <c r="BC97" i="1"/>
  <c r="AK96" i="1"/>
  <c r="AJ96" i="1"/>
  <c r="AI96" i="1"/>
  <c r="AH96" i="1"/>
  <c r="BC96" i="1"/>
  <c r="BB96" i="1"/>
  <c r="AK95" i="1"/>
  <c r="AJ95" i="1"/>
  <c r="AI95" i="1"/>
  <c r="AH95" i="1"/>
  <c r="AK94" i="1"/>
  <c r="AJ94" i="1"/>
  <c r="AI94" i="1"/>
  <c r="AH94" i="1"/>
  <c r="AK93" i="1"/>
  <c r="AJ93" i="1"/>
  <c r="AI93" i="1"/>
  <c r="AH93" i="1"/>
  <c r="AK92" i="1"/>
  <c r="AJ92" i="1"/>
  <c r="AI92" i="1"/>
  <c r="AH92" i="1"/>
  <c r="AK91" i="1"/>
  <c r="AJ91" i="1"/>
  <c r="AI91" i="1"/>
  <c r="AH91" i="1"/>
  <c r="AK90" i="1"/>
  <c r="AJ90" i="1"/>
  <c r="AI90" i="1"/>
  <c r="AH90" i="1"/>
  <c r="AK89" i="1"/>
  <c r="AJ89" i="1"/>
  <c r="AI89" i="1"/>
  <c r="AH89" i="1"/>
  <c r="AK88" i="1"/>
  <c r="AJ88" i="1"/>
  <c r="AI88" i="1"/>
  <c r="AH88" i="1"/>
  <c r="AK87" i="1"/>
  <c r="AJ87" i="1"/>
  <c r="AI87" i="1"/>
  <c r="AH87" i="1"/>
  <c r="AK86" i="1"/>
  <c r="AJ86" i="1"/>
  <c r="AI86" i="1"/>
  <c r="AH86" i="1"/>
  <c r="AK85" i="1"/>
  <c r="AJ85" i="1"/>
  <c r="AI85" i="1"/>
  <c r="AH85" i="1"/>
  <c r="AK84" i="1"/>
  <c r="AJ84" i="1"/>
  <c r="AI84" i="1"/>
  <c r="AH84" i="1"/>
  <c r="AK83" i="1"/>
  <c r="AJ83" i="1"/>
  <c r="AI83" i="1"/>
  <c r="AH83" i="1"/>
  <c r="AK82" i="1"/>
  <c r="AJ82" i="1"/>
  <c r="AI82" i="1"/>
  <c r="AH82" i="1"/>
  <c r="AK81" i="1"/>
  <c r="AJ81" i="1"/>
  <c r="AI81" i="1"/>
  <c r="AH81" i="1"/>
  <c r="AK80" i="1"/>
  <c r="AJ80" i="1"/>
  <c r="AI80" i="1"/>
  <c r="AH80" i="1"/>
  <c r="AK79" i="1"/>
  <c r="AJ79" i="1"/>
  <c r="AI79" i="1"/>
  <c r="AH79" i="1"/>
  <c r="AK78" i="1"/>
  <c r="AJ78" i="1"/>
  <c r="BC78" i="1"/>
  <c r="BB78" i="1"/>
  <c r="BA78" i="1"/>
  <c r="AK77" i="1"/>
  <c r="AJ77" i="1"/>
  <c r="BC77" i="1"/>
  <c r="AJ76" i="1"/>
  <c r="AK75" i="1"/>
  <c r="BA74" i="1"/>
  <c r="AJ74" i="1"/>
  <c r="AK73" i="1"/>
  <c r="AJ73" i="1"/>
  <c r="AJ72" i="1"/>
  <c r="AI72" i="1"/>
  <c r="BC72" i="1"/>
  <c r="BB72" i="1"/>
  <c r="BA72" i="1"/>
  <c r="AK71" i="1"/>
  <c r="AJ71" i="1"/>
  <c r="BC71" i="1"/>
  <c r="AJ70" i="1"/>
  <c r="AK69" i="1"/>
  <c r="BA68" i="1"/>
  <c r="AJ68" i="1"/>
  <c r="AK67" i="1"/>
  <c r="AJ67" i="1"/>
  <c r="AJ66" i="1"/>
  <c r="AI66" i="1"/>
  <c r="BC66" i="1"/>
  <c r="BB66" i="1"/>
  <c r="BA66" i="1"/>
  <c r="AK65" i="1"/>
  <c r="AJ65" i="1"/>
  <c r="BC65" i="1"/>
  <c r="AJ64" i="1"/>
  <c r="AK63" i="1"/>
  <c r="BA62" i="1"/>
  <c r="AJ62" i="1"/>
  <c r="AK61" i="1"/>
  <c r="AJ61" i="1"/>
  <c r="AJ60" i="1"/>
  <c r="AI60" i="1"/>
  <c r="BC60" i="1"/>
  <c r="BB60" i="1"/>
  <c r="BC59" i="1"/>
  <c r="AJ58" i="1"/>
  <c r="AK57" i="1"/>
  <c r="AJ56" i="1"/>
  <c r="AK55" i="1"/>
  <c r="AJ55" i="1"/>
  <c r="AI55" i="1"/>
  <c r="AH55" i="1"/>
  <c r="BA55" i="1"/>
  <c r="AK54" i="1"/>
  <c r="AJ54" i="1"/>
  <c r="AI54" i="1"/>
  <c r="AH54" i="1"/>
  <c r="BA54" i="1"/>
  <c r="AK53" i="1"/>
  <c r="AJ53" i="1"/>
  <c r="AI53" i="1"/>
  <c r="AH53" i="1"/>
  <c r="AK52" i="1"/>
  <c r="AJ52" i="1"/>
  <c r="AI52" i="1"/>
  <c r="AH52" i="1"/>
  <c r="AK51" i="1"/>
  <c r="AJ51" i="1"/>
  <c r="AI51" i="1"/>
  <c r="AH51" i="1"/>
  <c r="AK50" i="1"/>
  <c r="AJ50" i="1"/>
  <c r="AI50" i="1"/>
  <c r="AH50" i="1"/>
  <c r="AK49" i="1"/>
  <c r="AJ49" i="1"/>
  <c r="AI49" i="1"/>
  <c r="AH49" i="1"/>
  <c r="AK48" i="1"/>
  <c r="AJ48" i="1"/>
  <c r="AI48" i="1"/>
  <c r="AH48" i="1"/>
  <c r="AK47" i="1"/>
  <c r="AJ47" i="1"/>
  <c r="AI47" i="1"/>
  <c r="AH47" i="1"/>
  <c r="AK46" i="1"/>
  <c r="AJ46" i="1"/>
  <c r="AI46" i="1"/>
  <c r="AH46" i="1"/>
  <c r="AK45" i="1"/>
  <c r="AJ45" i="1"/>
  <c r="AI45" i="1"/>
  <c r="AH45" i="1"/>
  <c r="AK44" i="1"/>
  <c r="AJ44" i="1"/>
  <c r="AI44" i="1"/>
  <c r="AH44" i="1"/>
  <c r="AK43" i="1"/>
  <c r="AJ43" i="1"/>
  <c r="AI43" i="1"/>
  <c r="AH43" i="1"/>
  <c r="AK42" i="1"/>
  <c r="AJ42" i="1"/>
  <c r="AI42" i="1"/>
  <c r="AH42" i="1"/>
  <c r="AK41" i="1"/>
  <c r="AJ41" i="1"/>
  <c r="AI41" i="1"/>
  <c r="AH41" i="1"/>
  <c r="AK40" i="1"/>
  <c r="AJ40" i="1"/>
  <c r="AI40" i="1"/>
  <c r="AH40" i="1"/>
  <c r="AK39" i="1"/>
  <c r="AJ39" i="1"/>
  <c r="AI39" i="1"/>
  <c r="AH39" i="1"/>
  <c r="AK38" i="1"/>
  <c r="AJ38" i="1"/>
  <c r="AI38" i="1"/>
  <c r="AH38" i="1"/>
  <c r="AK36" i="1"/>
  <c r="AI36" i="1"/>
  <c r="BC36" i="1"/>
  <c r="BB36" i="1"/>
  <c r="BC35" i="1"/>
  <c r="AJ34" i="1"/>
  <c r="AK33" i="1"/>
  <c r="AJ32" i="1"/>
  <c r="AK31" i="1"/>
  <c r="AJ31" i="1"/>
  <c r="AI31" i="1"/>
  <c r="BC31" i="1"/>
  <c r="BB31" i="1"/>
  <c r="BA31" i="1"/>
  <c r="BB30" i="1"/>
  <c r="BC29" i="1"/>
  <c r="AK28" i="1"/>
  <c r="AJ28" i="1"/>
  <c r="AK27" i="1"/>
  <c r="AK26" i="1"/>
  <c r="AI26" i="1"/>
  <c r="BC26" i="1"/>
  <c r="BA26" i="1"/>
  <c r="AJ26" i="1"/>
  <c r="AK24" i="1"/>
  <c r="AI24" i="1"/>
  <c r="BC24" i="1"/>
  <c r="BB24" i="1"/>
  <c r="AK23" i="1"/>
  <c r="AJ23" i="1"/>
  <c r="AI23" i="1"/>
  <c r="AH23" i="1"/>
  <c r="BC23" i="1"/>
  <c r="AK22" i="1"/>
  <c r="AJ22" i="1"/>
  <c r="AI22" i="1"/>
  <c r="AH22" i="1"/>
  <c r="BC22" i="1"/>
  <c r="AK21" i="1"/>
  <c r="AJ21" i="1"/>
  <c r="AI21" i="1"/>
  <c r="AH21" i="1"/>
  <c r="AK20" i="1"/>
  <c r="AJ20" i="1"/>
  <c r="AI20" i="1"/>
  <c r="AH20" i="1"/>
  <c r="AD20" i="1"/>
  <c r="BC20" i="1"/>
  <c r="BA20" i="1"/>
  <c r="AK19" i="1"/>
  <c r="AJ19" i="1"/>
  <c r="AI19" i="1"/>
  <c r="AH19" i="1"/>
  <c r="BC19" i="1"/>
  <c r="BB19" i="1"/>
  <c r="BA19" i="1"/>
  <c r="AK18" i="1"/>
  <c r="AJ18" i="1"/>
  <c r="AI18" i="1"/>
  <c r="AH18" i="1"/>
  <c r="BB18" i="1"/>
  <c r="BA18" i="1"/>
  <c r="AK17" i="1"/>
  <c r="AJ17" i="1"/>
  <c r="AI17" i="1"/>
  <c r="AH17" i="1"/>
  <c r="BC17" i="1"/>
  <c r="AK16" i="1"/>
  <c r="AJ16" i="1"/>
  <c r="AI16" i="1"/>
  <c r="AH16" i="1"/>
  <c r="AD16" i="1"/>
  <c r="AK15" i="1"/>
  <c r="AJ15" i="1"/>
  <c r="AI15" i="1"/>
  <c r="AH15" i="1"/>
  <c r="AK14" i="1"/>
  <c r="AJ14" i="1"/>
  <c r="AI14" i="1"/>
  <c r="AH14" i="1"/>
  <c r="AK13" i="1"/>
  <c r="AJ13" i="1"/>
  <c r="AI13" i="1"/>
  <c r="AH13" i="1"/>
  <c r="BC13" i="1"/>
  <c r="BB13" i="1"/>
  <c r="BA13" i="1"/>
  <c r="AK12" i="1"/>
  <c r="AJ12" i="1"/>
  <c r="AI12" i="1"/>
  <c r="AH12" i="1"/>
  <c r="BC12" i="1"/>
  <c r="BB12" i="1"/>
  <c r="BA12" i="1"/>
  <c r="AK11" i="1"/>
  <c r="AJ11" i="1"/>
  <c r="AI11" i="1"/>
  <c r="AH11" i="1"/>
  <c r="BC11" i="1"/>
  <c r="AK10" i="1"/>
  <c r="AJ10" i="1"/>
  <c r="AI10" i="1"/>
  <c r="AH10" i="1"/>
  <c r="BC10" i="1"/>
  <c r="BA10" i="1"/>
  <c r="AK9" i="1"/>
  <c r="AJ9" i="1"/>
  <c r="AI9" i="1"/>
  <c r="AH9" i="1"/>
  <c r="AK8" i="1"/>
  <c r="AJ8" i="1"/>
  <c r="AI8" i="1"/>
  <c r="AH8" i="1"/>
  <c r="AK7" i="1"/>
  <c r="AJ7" i="1"/>
  <c r="AI7" i="1"/>
  <c r="AH7" i="1"/>
  <c r="AK6" i="1"/>
  <c r="AJ6" i="1"/>
  <c r="AI6" i="1"/>
  <c r="AH6" i="1"/>
  <c r="AD17" i="1" l="1"/>
  <c r="AD102" i="1"/>
  <c r="AH102" i="1" s="1"/>
  <c r="AD19" i="1"/>
  <c r="AH65" i="1"/>
  <c r="AD71" i="1"/>
  <c r="AH71" i="1" s="1"/>
  <c r="AD77" i="1"/>
  <c r="AH77" i="1" s="1"/>
  <c r="AD144" i="1"/>
  <c r="AH144" i="1" s="1"/>
  <c r="BA137" i="1"/>
  <c r="BB152" i="1"/>
  <c r="BA194" i="1"/>
  <c r="BA200" i="1"/>
  <c r="AI221" i="1"/>
  <c r="AJ226" i="1"/>
  <c r="BA8" i="1"/>
  <c r="BC95" i="1"/>
  <c r="BC104" i="1"/>
  <c r="BC113" i="1"/>
  <c r="BC119" i="1"/>
  <c r="BC137" i="1"/>
  <c r="BB140" i="1"/>
  <c r="BB146" i="1"/>
  <c r="BC152" i="1"/>
  <c r="BA181" i="1"/>
  <c r="AI185" i="1"/>
  <c r="BB198" i="1"/>
  <c r="AJ221" i="1"/>
  <c r="BA223" i="1"/>
  <c r="AK226" i="1"/>
  <c r="BC8" i="1"/>
  <c r="BB181" i="1"/>
  <c r="AK185" i="1"/>
  <c r="BC198" i="1"/>
  <c r="AK221" i="1"/>
  <c r="BB223" i="1"/>
  <c r="BA7" i="1"/>
  <c r="BB10" i="1"/>
  <c r="BC18" i="1"/>
  <c r="BB22" i="1"/>
  <c r="BA25" i="1"/>
  <c r="AK29" i="1"/>
  <c r="BA34" i="1"/>
  <c r="BA37" i="1"/>
  <c r="BA58" i="1"/>
  <c r="BC64" i="1"/>
  <c r="BC70" i="1"/>
  <c r="BC76" i="1"/>
  <c r="AD78" i="1"/>
  <c r="AH78" i="1" s="1"/>
  <c r="BB98" i="1"/>
  <c r="AK104" i="1"/>
  <c r="AI140" i="1"/>
  <c r="AI146" i="1"/>
  <c r="BA149" i="1"/>
  <c r="AK152" i="1"/>
  <c r="BC155" i="1"/>
  <c r="BC181" i="1"/>
  <c r="BC192" i="1"/>
  <c r="AI198" i="1"/>
  <c r="AK232" i="1"/>
  <c r="AJ29" i="1"/>
  <c r="BA64" i="1"/>
  <c r="BA76" i="1"/>
  <c r="AI104" i="1"/>
  <c r="BC146" i="1"/>
  <c r="BB7" i="1"/>
  <c r="BB25" i="1"/>
  <c r="BB37" i="1"/>
  <c r="BC58" i="1"/>
  <c r="AK64" i="1"/>
  <c r="AK140" i="1"/>
  <c r="BC149" i="1"/>
  <c r="AI223" i="1"/>
  <c r="BC7" i="1"/>
  <c r="BA14" i="1"/>
  <c r="BC25" i="1"/>
  <c r="BC30" i="1"/>
  <c r="Y32" i="1"/>
  <c r="AK34" i="1"/>
  <c r="BC37" i="1"/>
  <c r="BB54" i="1"/>
  <c r="BB55" i="1"/>
  <c r="BA56" i="1"/>
  <c r="AK58" i="1"/>
  <c r="BB62" i="1"/>
  <c r="BB68" i="1"/>
  <c r="BB74" i="1"/>
  <c r="BC101" i="1"/>
  <c r="BB111" i="1"/>
  <c r="BB117" i="1"/>
  <c r="BC143" i="1"/>
  <c r="AI160" i="1"/>
  <c r="AK179" i="1"/>
  <c r="BB186" i="1"/>
  <c r="AJ196" i="1"/>
  <c r="BA222" i="1"/>
  <c r="AJ223" i="1"/>
  <c r="AJ227" i="1"/>
  <c r="BB229" i="1"/>
  <c r="AI233" i="1"/>
  <c r="BB235" i="1"/>
  <c r="AK238" i="1"/>
  <c r="BC14" i="1"/>
  <c r="AI25" i="1"/>
  <c r="AI30" i="1"/>
  <c r="BA32" i="1"/>
  <c r="AI37" i="1"/>
  <c r="BC54" i="1"/>
  <c r="BC55" i="1"/>
  <c r="BB56" i="1"/>
  <c r="BC62" i="1"/>
  <c r="BC68" i="1"/>
  <c r="BC74" i="1"/>
  <c r="AI78" i="1"/>
  <c r="AK98" i="1"/>
  <c r="BA105" i="1"/>
  <c r="BA108" i="1"/>
  <c r="AJ109" i="1"/>
  <c r="BC111" i="1"/>
  <c r="BA114" i="1"/>
  <c r="AJ115" i="1"/>
  <c r="BC117" i="1"/>
  <c r="BA153" i="1"/>
  <c r="AJ160" i="1"/>
  <c r="BC186" i="1"/>
  <c r="AK196" i="1"/>
  <c r="AK227" i="1"/>
  <c r="AJ233" i="1"/>
  <c r="BC235" i="1"/>
  <c r="BB104" i="1"/>
  <c r="BA22" i="1"/>
  <c r="BA229" i="1"/>
  <c r="BA16" i="1"/>
  <c r="AJ25" i="1"/>
  <c r="AK30" i="1"/>
  <c r="BC32" i="1"/>
  <c r="AJ37" i="1"/>
  <c r="BC56" i="1"/>
  <c r="BA61" i="1"/>
  <c r="AI62" i="1"/>
  <c r="BA67" i="1"/>
  <c r="AI68" i="1"/>
  <c r="BA73" i="1"/>
  <c r="AI74" i="1"/>
  <c r="AI103" i="1"/>
  <c r="BB105" i="1"/>
  <c r="BB108" i="1"/>
  <c r="AK109" i="1"/>
  <c r="AI111" i="1"/>
  <c r="BB114" i="1"/>
  <c r="AK115" i="1"/>
  <c r="AI117" i="1"/>
  <c r="BB153" i="1"/>
  <c r="AK160" i="1"/>
  <c r="BB183" i="1"/>
  <c r="AJ190" i="1"/>
  <c r="BA193" i="1"/>
  <c r="AI196" i="1"/>
  <c r="BA199" i="1"/>
  <c r="BC222" i="1"/>
  <c r="BA224" i="1"/>
  <c r="AJ229" i="1"/>
  <c r="AK233" i="1"/>
  <c r="AI235" i="1"/>
  <c r="AI239" i="1"/>
  <c r="BA241" i="1"/>
  <c r="BA70" i="1"/>
  <c r="AI138" i="1"/>
  <c r="BB16" i="1"/>
  <c r="AK25" i="1"/>
  <c r="Y28" i="1"/>
  <c r="AI32" i="1"/>
  <c r="AJ35" i="1"/>
  <c r="AK37" i="1"/>
  <c r="AI56" i="1"/>
  <c r="AJ59" i="1"/>
  <c r="BB61" i="1"/>
  <c r="AK62" i="1"/>
  <c r="BB67" i="1"/>
  <c r="AK68" i="1"/>
  <c r="BB73" i="1"/>
  <c r="AK74" i="1"/>
  <c r="AJ103" i="1"/>
  <c r="BC105" i="1"/>
  <c r="AI108" i="1"/>
  <c r="AJ111" i="1"/>
  <c r="AJ117" i="1"/>
  <c r="BA150" i="1"/>
  <c r="AJ151" i="1"/>
  <c r="BC153" i="1"/>
  <c r="BA156" i="1"/>
  <c r="AJ157" i="1"/>
  <c r="BB180" i="1"/>
  <c r="AK190" i="1"/>
  <c r="BB193" i="1"/>
  <c r="BB199" i="1"/>
  <c r="AJ235" i="1"/>
  <c r="AJ239" i="1"/>
  <c r="BB241" i="1"/>
  <c r="AI102" i="1"/>
  <c r="BC140" i="1"/>
  <c r="AI144" i="1"/>
  <c r="BC34" i="1"/>
  <c r="AK70" i="1"/>
  <c r="AK76" i="1"/>
  <c r="BC98" i="1"/>
  <c r="BA111" i="1"/>
  <c r="BA117" i="1"/>
  <c r="AK146" i="1"/>
  <c r="AJ198" i="1"/>
  <c r="BA235" i="1"/>
  <c r="AD13" i="1"/>
  <c r="BC16" i="1"/>
  <c r="BA28" i="1"/>
  <c r="AK32" i="1"/>
  <c r="AK35" i="1"/>
  <c r="AK56" i="1"/>
  <c r="AK59" i="1"/>
  <c r="BC61" i="1"/>
  <c r="BC67" i="1"/>
  <c r="BC73" i="1"/>
  <c r="BA96" i="1"/>
  <c r="BA102" i="1"/>
  <c r="AK103" i="1"/>
  <c r="AI105" i="1"/>
  <c r="AJ108" i="1"/>
  <c r="AJ114" i="1"/>
  <c r="BA138" i="1"/>
  <c r="AJ139" i="1"/>
  <c r="BA144" i="1"/>
  <c r="AJ145" i="1"/>
  <c r="BB150" i="1"/>
  <c r="AK151" i="1"/>
  <c r="AI153" i="1"/>
  <c r="BB156" i="1"/>
  <c r="AK157" i="1"/>
  <c r="BC180" i="1"/>
  <c r="AI190" i="1"/>
  <c r="BC193" i="1"/>
  <c r="BC199" i="1"/>
  <c r="AJ222" i="1"/>
  <c r="AK239" i="1"/>
  <c r="BC241" i="1"/>
  <c r="AI226" i="1"/>
  <c r="Y26" i="1"/>
  <c r="BC28" i="1"/>
  <c r="AI61" i="1"/>
  <c r="AI67" i="1"/>
  <c r="AI73" i="1"/>
  <c r="BB102" i="1"/>
  <c r="AK108" i="1"/>
  <c r="AK114" i="1"/>
  <c r="BB138" i="1"/>
  <c r="AK139" i="1"/>
  <c r="BB144" i="1"/>
  <c r="AK145" i="1"/>
  <c r="AI180" i="1"/>
  <c r="AJ193" i="1"/>
  <c r="AJ199" i="1"/>
  <c r="AI220" i="1"/>
  <c r="AK222" i="1"/>
  <c r="AJ241" i="1"/>
  <c r="AK100" i="1"/>
  <c r="AJ100" i="1"/>
  <c r="BC100" i="1"/>
  <c r="BB100" i="1"/>
  <c r="BA100" i="1"/>
  <c r="AK148" i="1"/>
  <c r="AJ148" i="1"/>
  <c r="BC148" i="1"/>
  <c r="BB148" i="1"/>
  <c r="AI116" i="1"/>
  <c r="BB8" i="1"/>
  <c r="AD12" i="1"/>
  <c r="BB14" i="1"/>
  <c r="BB20" i="1"/>
  <c r="BB26" i="1"/>
  <c r="Y27" i="1"/>
  <c r="AD31" i="1"/>
  <c r="AH31" i="1" s="1"/>
  <c r="BB32" i="1"/>
  <c r="Y33" i="1"/>
  <c r="BA148" i="1"/>
  <c r="AI240" i="1"/>
  <c r="AD240" i="1"/>
  <c r="AH240" i="1" s="1"/>
  <c r="BA9" i="1"/>
  <c r="BA15" i="1"/>
  <c r="BA21" i="1"/>
  <c r="BA27" i="1"/>
  <c r="BA33" i="1"/>
  <c r="BA57" i="1"/>
  <c r="AI59" i="1"/>
  <c r="BA63" i="1"/>
  <c r="AI65" i="1"/>
  <c r="BA69" i="1"/>
  <c r="AI71" i="1"/>
  <c r="BA75" i="1"/>
  <c r="AI77" i="1"/>
  <c r="AI98" i="1"/>
  <c r="AK106" i="1"/>
  <c r="AJ106" i="1"/>
  <c r="BC106" i="1"/>
  <c r="BB106" i="1"/>
  <c r="AI232" i="1"/>
  <c r="AI238" i="1"/>
  <c r="BB9" i="1"/>
  <c r="BB15" i="1"/>
  <c r="BB21" i="1"/>
  <c r="AD26" i="1"/>
  <c r="AH26" i="1" s="1"/>
  <c r="BB27" i="1"/>
  <c r="BB33" i="1"/>
  <c r="BB57" i="1"/>
  <c r="BB63" i="1"/>
  <c r="BB69" i="1"/>
  <c r="BB75" i="1"/>
  <c r="AD97" i="1"/>
  <c r="AH97" i="1" s="1"/>
  <c r="BA106" i="1"/>
  <c r="BC9" i="1"/>
  <c r="BC15" i="1"/>
  <c r="BC21" i="1"/>
  <c r="BC27" i="1"/>
  <c r="BC33" i="1"/>
  <c r="BC57" i="1"/>
  <c r="BC63" i="1"/>
  <c r="BC69" i="1"/>
  <c r="BC75" i="1"/>
  <c r="AK154" i="1"/>
  <c r="AJ154" i="1"/>
  <c r="BC154" i="1"/>
  <c r="BB154" i="1"/>
  <c r="BB28" i="1"/>
  <c r="Y29" i="1"/>
  <c r="BB34" i="1"/>
  <c r="Y35" i="1"/>
  <c r="BB58" i="1"/>
  <c r="BB64" i="1"/>
  <c r="BB70" i="1"/>
  <c r="BB76" i="1"/>
  <c r="AD96" i="1"/>
  <c r="AK112" i="1"/>
  <c r="AJ112" i="1"/>
  <c r="BC112" i="1"/>
  <c r="BB112" i="1"/>
  <c r="BA154" i="1"/>
  <c r="BA11" i="1"/>
  <c r="BA17" i="1"/>
  <c r="BA23" i="1"/>
  <c r="BA29" i="1"/>
  <c r="BA35" i="1"/>
  <c r="BA59" i="1"/>
  <c r="BA65" i="1"/>
  <c r="BA71" i="1"/>
  <c r="BA77" i="1"/>
  <c r="AI152" i="1"/>
  <c r="BB11" i="1"/>
  <c r="BB17" i="1"/>
  <c r="BB23" i="1"/>
  <c r="AJ27" i="1"/>
  <c r="BB29" i="1"/>
  <c r="Y30" i="1"/>
  <c r="AJ33" i="1"/>
  <c r="BB35" i="1"/>
  <c r="Y36" i="1"/>
  <c r="AJ57" i="1"/>
  <c r="BB59" i="1"/>
  <c r="AJ63" i="1"/>
  <c r="BB65" i="1"/>
  <c r="AJ69" i="1"/>
  <c r="BB71" i="1"/>
  <c r="AJ75" i="1"/>
  <c r="BB77" i="1"/>
  <c r="AI110" i="1"/>
  <c r="BC136" i="1"/>
  <c r="BB136" i="1"/>
  <c r="BA24" i="1"/>
  <c r="Y25" i="1"/>
  <c r="BA30" i="1"/>
  <c r="Y31" i="1"/>
  <c r="BA36" i="1"/>
  <c r="Y37" i="1"/>
  <c r="BA60" i="1"/>
  <c r="AK118" i="1"/>
  <c r="AJ118" i="1"/>
  <c r="BC118" i="1"/>
  <c r="BB118" i="1"/>
  <c r="AK142" i="1"/>
  <c r="AJ142" i="1"/>
  <c r="BC142" i="1"/>
  <c r="BB142" i="1"/>
  <c r="AK188" i="1"/>
  <c r="AJ188" i="1"/>
  <c r="BC188" i="1"/>
  <c r="BB188" i="1"/>
  <c r="AJ98" i="1"/>
  <c r="AD99" i="1"/>
  <c r="AH99" i="1" s="1"/>
  <c r="AJ104" i="1"/>
  <c r="AJ110" i="1"/>
  <c r="AJ116" i="1"/>
  <c r="AJ140" i="1"/>
  <c r="AD141" i="1"/>
  <c r="AH141" i="1" s="1"/>
  <c r="AJ146" i="1"/>
  <c r="AD147" i="1"/>
  <c r="AH147" i="1" s="1"/>
  <c r="AJ152" i="1"/>
  <c r="BA188" i="1"/>
  <c r="BA95" i="1"/>
  <c r="BA101" i="1"/>
  <c r="BA107" i="1"/>
  <c r="BA113" i="1"/>
  <c r="BA119" i="1"/>
  <c r="AI222" i="1"/>
  <c r="BB95" i="1"/>
  <c r="BB101" i="1"/>
  <c r="BB107" i="1"/>
  <c r="BB113" i="1"/>
  <c r="BB119" i="1"/>
  <c r="BB137" i="1"/>
  <c r="BB143" i="1"/>
  <c r="BB149" i="1"/>
  <c r="BB155" i="1"/>
  <c r="AD184" i="1"/>
  <c r="AH184" i="1" s="1"/>
  <c r="AJ158" i="1"/>
  <c r="BC158" i="1"/>
  <c r="BB158" i="1"/>
  <c r="AK182" i="1"/>
  <c r="AJ182" i="1"/>
  <c r="BC182" i="1"/>
  <c r="BB182" i="1"/>
  <c r="AI186" i="1"/>
  <c r="BA97" i="1"/>
  <c r="BA103" i="1"/>
  <c r="BA109" i="1"/>
  <c r="BA115" i="1"/>
  <c r="BA139" i="1"/>
  <c r="BA145" i="1"/>
  <c r="BA151" i="1"/>
  <c r="BA157" i="1"/>
  <c r="BA158" i="1"/>
  <c r="BA182" i="1"/>
  <c r="AI228" i="1"/>
  <c r="AD228" i="1"/>
  <c r="AH228" i="1" s="1"/>
  <c r="BB97" i="1"/>
  <c r="AJ101" i="1"/>
  <c r="BB103" i="1"/>
  <c r="AJ107" i="1"/>
  <c r="BB109" i="1"/>
  <c r="AJ113" i="1"/>
  <c r="BB115" i="1"/>
  <c r="AJ119" i="1"/>
  <c r="BB139" i="1"/>
  <c r="AJ143" i="1"/>
  <c r="BB145" i="1"/>
  <c r="AJ149" i="1"/>
  <c r="BB151" i="1"/>
  <c r="AJ155" i="1"/>
  <c r="BB157" i="1"/>
  <c r="AI184" i="1"/>
  <c r="AI192" i="1"/>
  <c r="AI234" i="1"/>
  <c r="AD234" i="1"/>
  <c r="AH234" i="1" s="1"/>
  <c r="AJ191" i="1"/>
  <c r="AJ180" i="1"/>
  <c r="AJ186" i="1"/>
  <c r="AJ192" i="1"/>
  <c r="BB194" i="1"/>
  <c r="BB200" i="1"/>
  <c r="BB218" i="1"/>
  <c r="BB224" i="1"/>
  <c r="BB230" i="1"/>
  <c r="BB236" i="1"/>
  <c r="BA159" i="1"/>
  <c r="BA177" i="1"/>
  <c r="AK180" i="1"/>
  <c r="BA183" i="1"/>
  <c r="AK186" i="1"/>
  <c r="BA189" i="1"/>
  <c r="AK192" i="1"/>
  <c r="BC194" i="1"/>
  <c r="BA195" i="1"/>
  <c r="AK198" i="1"/>
  <c r="BC200" i="1"/>
  <c r="BA201" i="1"/>
  <c r="BC218" i="1"/>
  <c r="BA219" i="1"/>
  <c r="BC224" i="1"/>
  <c r="BA225" i="1"/>
  <c r="BC230" i="1"/>
  <c r="BA231" i="1"/>
  <c r="BC236" i="1"/>
  <c r="BA237" i="1"/>
  <c r="BB201" i="1"/>
  <c r="BB219" i="1"/>
  <c r="BB225" i="1"/>
  <c r="BB231" i="1"/>
  <c r="BB237" i="1"/>
  <c r="BC159" i="1"/>
  <c r="BA160" i="1"/>
  <c r="BC177" i="1"/>
  <c r="BA178" i="1"/>
  <c r="AK181" i="1"/>
  <c r="BC183" i="1"/>
  <c r="BA184" i="1"/>
  <c r="AK187" i="1"/>
  <c r="BC189" i="1"/>
  <c r="BA190" i="1"/>
  <c r="AK193" i="1"/>
  <c r="BC195" i="1"/>
  <c r="BA196" i="1"/>
  <c r="AK199" i="1"/>
  <c r="BC201" i="1"/>
  <c r="BC219" i="1"/>
  <c r="BA220" i="1"/>
  <c r="BC225" i="1"/>
  <c r="BA226" i="1"/>
  <c r="AK229" i="1"/>
  <c r="BC231" i="1"/>
  <c r="BA232" i="1"/>
  <c r="BC237" i="1"/>
  <c r="BA238" i="1"/>
  <c r="AK241" i="1"/>
  <c r="BB160" i="1"/>
  <c r="BB178" i="1"/>
  <c r="BB184" i="1"/>
  <c r="BB190" i="1"/>
  <c r="AJ194" i="1"/>
  <c r="BB196" i="1"/>
  <c r="AJ200" i="1"/>
  <c r="BB220" i="1"/>
  <c r="AJ224" i="1"/>
  <c r="BB226" i="1"/>
  <c r="AJ230" i="1"/>
  <c r="BB232" i="1"/>
  <c r="AJ236" i="1"/>
  <c r="BB238" i="1"/>
  <c r="BC178" i="1"/>
  <c r="BA179" i="1"/>
  <c r="BC184" i="1"/>
  <c r="BA185" i="1"/>
  <c r="BC190" i="1"/>
  <c r="BA191" i="1"/>
  <c r="BC196" i="1"/>
  <c r="BA197" i="1"/>
  <c r="BC220" i="1"/>
  <c r="BA221" i="1"/>
  <c r="BC226" i="1"/>
  <c r="BA227" i="1"/>
  <c r="BC232" i="1"/>
  <c r="BA233" i="1"/>
  <c r="BC238" i="1"/>
  <c r="BA239" i="1"/>
  <c r="AJ159" i="1"/>
  <c r="BB179" i="1"/>
  <c r="AJ183" i="1"/>
  <c r="BB185" i="1"/>
  <c r="AJ189" i="1"/>
  <c r="BB191" i="1"/>
  <c r="AJ195" i="1"/>
  <c r="BB197" i="1"/>
  <c r="AJ201" i="1"/>
  <c r="AJ219" i="1"/>
  <c r="BB221" i="1"/>
  <c r="AJ225" i="1"/>
  <c r="BB227" i="1"/>
  <c r="AJ231" i="1"/>
  <c r="BB233" i="1"/>
  <c r="AJ237" i="1"/>
  <c r="BB239" i="1"/>
  <c r="BA6" i="1"/>
  <c r="BB6" i="1"/>
  <c r="BC6" i="1"/>
  <c r="AD10" i="1" l="1"/>
  <c r="AD111" i="1"/>
  <c r="AH111" i="1" s="1"/>
  <c r="AD108" i="1"/>
  <c r="AH108" i="1" s="1"/>
  <c r="AD105" i="1"/>
  <c r="AH105" i="1" s="1"/>
  <c r="AD21" i="1"/>
  <c r="AD6" i="1"/>
  <c r="AD222" i="1"/>
  <c r="AH222" i="1" s="1"/>
  <c r="AD32" i="1"/>
  <c r="AH32" i="1" s="1"/>
  <c r="AD35" i="1"/>
  <c r="AH35" i="1" s="1"/>
  <c r="AD104" i="1"/>
  <c r="AH104" i="1" s="1"/>
  <c r="AD239" i="1"/>
  <c r="AH239" i="1" s="1"/>
  <c r="AD227" i="1"/>
  <c r="AH227" i="1" s="1"/>
  <c r="AD18" i="1"/>
  <c r="AH56" i="1"/>
  <c r="AD37" i="1"/>
  <c r="AH37" i="1" s="1"/>
  <c r="AD196" i="1"/>
  <c r="AH196" i="1" s="1"/>
  <c r="AI145" i="1"/>
  <c r="AD145" i="1"/>
  <c r="AH145" i="1" s="1"/>
  <c r="AI157" i="1"/>
  <c r="AD157" i="1"/>
  <c r="AH157" i="1" s="1"/>
  <c r="AI115" i="1"/>
  <c r="AD115" i="1"/>
  <c r="AH115" i="1" s="1"/>
  <c r="AK66" i="1"/>
  <c r="AH66" i="1"/>
  <c r="AD192" i="1"/>
  <c r="AH192" i="1" s="1"/>
  <c r="AD146" i="1"/>
  <c r="AH146" i="1" s="1"/>
  <c r="AD190" i="1"/>
  <c r="AH190" i="1" s="1"/>
  <c r="AI139" i="1"/>
  <c r="AD139" i="1"/>
  <c r="AH139" i="1" s="1"/>
  <c r="AK60" i="1"/>
  <c r="AH60" i="1"/>
  <c r="AD233" i="1"/>
  <c r="AH233" i="1" s="1"/>
  <c r="AD150" i="1"/>
  <c r="AH150" i="1" s="1"/>
  <c r="AI150" i="1"/>
  <c r="AD29" i="1"/>
  <c r="AH29" i="1" s="1"/>
  <c r="AD103" i="1"/>
  <c r="AH103" i="1" s="1"/>
  <c r="AD110" i="1"/>
  <c r="AH110" i="1" s="1"/>
  <c r="AD74" i="1"/>
  <c r="AH74" i="1" s="1"/>
  <c r="AD23" i="1"/>
  <c r="AI151" i="1"/>
  <c r="AD151" i="1"/>
  <c r="AH151" i="1" s="1"/>
  <c r="AD114" i="1"/>
  <c r="AH114" i="1" s="1"/>
  <c r="AI114" i="1"/>
  <c r="AD15" i="1"/>
  <c r="AD8" i="1"/>
  <c r="AH68" i="1"/>
  <c r="AD7" i="1"/>
  <c r="AD22" i="1"/>
  <c r="AD11" i="1"/>
  <c r="AD95" i="1"/>
  <c r="AI109" i="1"/>
  <c r="AD109" i="1"/>
  <c r="AH109" i="1" s="1"/>
  <c r="AD156" i="1"/>
  <c r="AH156" i="1" s="1"/>
  <c r="AI156" i="1"/>
  <c r="AI35" i="1"/>
  <c r="AD117" i="1"/>
  <c r="AH117" i="1" s="1"/>
  <c r="AI29" i="1"/>
  <c r="AH67" i="1"/>
  <c r="AD25" i="1"/>
  <c r="AH25" i="1" s="1"/>
  <c r="AD232" i="1"/>
  <c r="AH232" i="1" s="1"/>
  <c r="AH62" i="1"/>
  <c r="AD238" i="1"/>
  <c r="AH238" i="1" s="1"/>
  <c r="AD14" i="1"/>
  <c r="AK72" i="1"/>
  <c r="AD72" i="1"/>
  <c r="AH72" i="1" s="1"/>
  <c r="AD221" i="1"/>
  <c r="AH221" i="1" s="1"/>
  <c r="AD73" i="1"/>
  <c r="AH73" i="1" s="1"/>
  <c r="AD218" i="1"/>
  <c r="AD160" i="1"/>
  <c r="AH160" i="1" s="1"/>
  <c r="AD153" i="1"/>
  <c r="AH153" i="1" s="1"/>
  <c r="AH61" i="1"/>
  <c r="AH59" i="1"/>
  <c r="AD226" i="1"/>
  <c r="AH226" i="1" s="1"/>
  <c r="AD219" i="1"/>
  <c r="AH219" i="1" s="1"/>
  <c r="AI219" i="1"/>
  <c r="AD140" i="1"/>
  <c r="AH140" i="1" s="1"/>
  <c r="AD201" i="1"/>
  <c r="AH201" i="1" s="1"/>
  <c r="AI201" i="1"/>
  <c r="AI142" i="1"/>
  <c r="AD142" i="1"/>
  <c r="AH142" i="1" s="1"/>
  <c r="AD75" i="1"/>
  <c r="AH75" i="1" s="1"/>
  <c r="AI75" i="1"/>
  <c r="AD36" i="1"/>
  <c r="AH36" i="1" s="1"/>
  <c r="AJ36" i="1"/>
  <c r="AD98" i="1"/>
  <c r="AH98" i="1" s="1"/>
  <c r="AJ197" i="1"/>
  <c r="AD197" i="1"/>
  <c r="AH197" i="1" s="1"/>
  <c r="AD143" i="1"/>
  <c r="AH143" i="1" s="1"/>
  <c r="AI143" i="1"/>
  <c r="AI182" i="1"/>
  <c r="AD182" i="1"/>
  <c r="AH182" i="1" s="1"/>
  <c r="AD70" i="1"/>
  <c r="AH70" i="1" s="1"/>
  <c r="AI70" i="1"/>
  <c r="AD28" i="1"/>
  <c r="AH28" i="1" s="1"/>
  <c r="AI28" i="1"/>
  <c r="AI199" i="1"/>
  <c r="AD199" i="1"/>
  <c r="AH199" i="1" s="1"/>
  <c r="AD107" i="1"/>
  <c r="AH107" i="1" s="1"/>
  <c r="AI107" i="1"/>
  <c r="AI230" i="1"/>
  <c r="AD230" i="1"/>
  <c r="AH230" i="1" s="1"/>
  <c r="AI200" i="1"/>
  <c r="AD200" i="1"/>
  <c r="AH200" i="1" s="1"/>
  <c r="AI229" i="1"/>
  <c r="AD229" i="1"/>
  <c r="AH229" i="1" s="1"/>
  <c r="AD101" i="1"/>
  <c r="AH101" i="1" s="1"/>
  <c r="AI101" i="1"/>
  <c r="AH69" i="1"/>
  <c r="AI69" i="1"/>
  <c r="AD116" i="1"/>
  <c r="AH116" i="1" s="1"/>
  <c r="AI100" i="1"/>
  <c r="AD100" i="1"/>
  <c r="AH100" i="1" s="1"/>
  <c r="AD27" i="1"/>
  <c r="AH27" i="1" s="1"/>
  <c r="AI27" i="1"/>
  <c r="AD183" i="1"/>
  <c r="AH183" i="1" s="1"/>
  <c r="AI183" i="1"/>
  <c r="AH64" i="1"/>
  <c r="AI64" i="1"/>
  <c r="AK235" i="1"/>
  <c r="AD235" i="1"/>
  <c r="AH235" i="1" s="1"/>
  <c r="AD34" i="1"/>
  <c r="AH34" i="1" s="1"/>
  <c r="AI34" i="1"/>
  <c r="AD231" i="1"/>
  <c r="AH231" i="1" s="1"/>
  <c r="AI231" i="1"/>
  <c r="AD195" i="1"/>
  <c r="AH195" i="1" s="1"/>
  <c r="AI195" i="1"/>
  <c r="AD177" i="1"/>
  <c r="AI193" i="1"/>
  <c r="AD193" i="1"/>
  <c r="AH193" i="1" s="1"/>
  <c r="AJ185" i="1"/>
  <c r="AD185" i="1"/>
  <c r="AH185" i="1" s="1"/>
  <c r="AD191" i="1"/>
  <c r="AH191" i="1" s="1"/>
  <c r="AD137" i="1"/>
  <c r="AI188" i="1"/>
  <c r="AD188" i="1"/>
  <c r="AH188" i="1" s="1"/>
  <c r="AH63" i="1"/>
  <c r="AI63" i="1"/>
  <c r="AD9" i="1"/>
  <c r="AI106" i="1"/>
  <c r="AD106" i="1"/>
  <c r="AH106" i="1" s="1"/>
  <c r="AD30" i="1"/>
  <c r="AH30" i="1" s="1"/>
  <c r="AJ30" i="1"/>
  <c r="AD149" i="1"/>
  <c r="AH149" i="1" s="1"/>
  <c r="AI149" i="1"/>
  <c r="AD159" i="1"/>
  <c r="AH159" i="1" s="1"/>
  <c r="AI159" i="1"/>
  <c r="AJ179" i="1"/>
  <c r="AD179" i="1"/>
  <c r="AH179" i="1" s="1"/>
  <c r="AD119" i="1"/>
  <c r="AH119" i="1" s="1"/>
  <c r="AI119" i="1"/>
  <c r="AD76" i="1"/>
  <c r="AH76" i="1" s="1"/>
  <c r="AI76" i="1"/>
  <c r="AH58" i="1"/>
  <c r="AI58" i="1"/>
  <c r="AH57" i="1"/>
  <c r="AI57" i="1"/>
  <c r="AI112" i="1"/>
  <c r="AD112" i="1"/>
  <c r="AH112" i="1" s="1"/>
  <c r="AI224" i="1"/>
  <c r="AD224" i="1"/>
  <c r="AH224" i="1" s="1"/>
  <c r="AI194" i="1"/>
  <c r="AD194" i="1"/>
  <c r="AH194" i="1" s="1"/>
  <c r="AI241" i="1"/>
  <c r="AD241" i="1"/>
  <c r="AH241" i="1" s="1"/>
  <c r="AD198" i="1"/>
  <c r="AH198" i="1" s="1"/>
  <c r="AD155" i="1"/>
  <c r="AH155" i="1" s="1"/>
  <c r="AI155" i="1"/>
  <c r="AI118" i="1"/>
  <c r="AD118" i="1"/>
  <c r="AH118" i="1" s="1"/>
  <c r="AK223" i="1"/>
  <c r="AD223" i="1"/>
  <c r="AH223" i="1" s="1"/>
  <c r="AI187" i="1"/>
  <c r="AD187" i="1"/>
  <c r="AH187" i="1" s="1"/>
  <c r="AD113" i="1"/>
  <c r="AH113" i="1" s="1"/>
  <c r="AI113" i="1"/>
  <c r="AD186" i="1"/>
  <c r="AH186" i="1" s="1"/>
  <c r="AD136" i="1"/>
  <c r="AD33" i="1"/>
  <c r="AH33" i="1" s="1"/>
  <c r="AI33" i="1"/>
  <c r="AI154" i="1"/>
  <c r="AD154" i="1"/>
  <c r="AH154" i="1" s="1"/>
  <c r="AD180" i="1"/>
  <c r="AH180" i="1" s="1"/>
  <c r="AD24" i="1"/>
  <c r="AH24" i="1" s="1"/>
  <c r="AJ24" i="1"/>
  <c r="AI148" i="1"/>
  <c r="AD148" i="1"/>
  <c r="AH148" i="1" s="1"/>
  <c r="AI158" i="1"/>
  <c r="AD158" i="1"/>
  <c r="AH158" i="1" s="1"/>
  <c r="AD237" i="1"/>
  <c r="AH237" i="1" s="1"/>
  <c r="AI237" i="1"/>
  <c r="AI181" i="1"/>
  <c r="AD181" i="1"/>
  <c r="AH181" i="1" s="1"/>
  <c r="AD225" i="1"/>
  <c r="AH225" i="1" s="1"/>
  <c r="AI225" i="1"/>
  <c r="AD189" i="1"/>
  <c r="AH189" i="1" s="1"/>
  <c r="AI189" i="1"/>
  <c r="AI236" i="1"/>
  <c r="AD236" i="1"/>
  <c r="AH236" i="1" s="1"/>
  <c r="AD152" i="1"/>
  <c r="AH152" i="1" s="1"/>
  <c r="BB281" i="1" l="1"/>
  <c r="BC278" i="1"/>
  <c r="BB278" i="1"/>
  <c r="BB277" i="1"/>
  <c r="BB273" i="1"/>
  <c r="BC270" i="1"/>
  <c r="BB269" i="1"/>
  <c r="BC266" i="1"/>
  <c r="BB265" i="1"/>
  <c r="BB261" i="1"/>
  <c r="BB256" i="1"/>
  <c r="BB252" i="1"/>
  <c r="BA249" i="1"/>
  <c r="BB248" i="1"/>
  <c r="BB244" i="1"/>
  <c r="BA266" i="1" l="1"/>
  <c r="BC273" i="1"/>
  <c r="AD278" i="1"/>
  <c r="BC248" i="1"/>
  <c r="AD260" i="1"/>
  <c r="BB249" i="1"/>
  <c r="BC277" i="1"/>
  <c r="BC249" i="1"/>
  <c r="BA282" i="1"/>
  <c r="BC281" i="1"/>
  <c r="BC256" i="1"/>
  <c r="AD264" i="1"/>
  <c r="BA262" i="1"/>
  <c r="BA274" i="1"/>
  <c r="BB262" i="1"/>
  <c r="BB274" i="1"/>
  <c r="AD257" i="1"/>
  <c r="BC262" i="1"/>
  <c r="BC274" i="1"/>
  <c r="BC244" i="1"/>
  <c r="BB266" i="1"/>
  <c r="BB282" i="1"/>
  <c r="BA278" i="1"/>
  <c r="BC282" i="1"/>
  <c r="AD249" i="1"/>
  <c r="BA257" i="1"/>
  <c r="BB257" i="1"/>
  <c r="BC257" i="1"/>
  <c r="BC269" i="1"/>
  <c r="BA270" i="1"/>
  <c r="BB270" i="1"/>
  <c r="BC265" i="1"/>
  <c r="BC261" i="1"/>
  <c r="BA253" i="1"/>
  <c r="BB253" i="1"/>
  <c r="BC253" i="1"/>
  <c r="BC252" i="1"/>
  <c r="BA245" i="1"/>
  <c r="BB245" i="1"/>
  <c r="BC245" i="1"/>
  <c r="BA242" i="1"/>
  <c r="BA246" i="1"/>
  <c r="BA250" i="1"/>
  <c r="BA254" i="1"/>
  <c r="BA259" i="1"/>
  <c r="BA263" i="1"/>
  <c r="BA267" i="1"/>
  <c r="BA271" i="1"/>
  <c r="BA275" i="1"/>
  <c r="BA279" i="1"/>
  <c r="BB242" i="1"/>
  <c r="BB246" i="1"/>
  <c r="BB250" i="1"/>
  <c r="BB254" i="1"/>
  <c r="BB259" i="1"/>
  <c r="BB263" i="1"/>
  <c r="BB267" i="1"/>
  <c r="BB271" i="1"/>
  <c r="BB275" i="1"/>
  <c r="BB279" i="1"/>
  <c r="BC242" i="1"/>
  <c r="BC246" i="1"/>
  <c r="BC250" i="1"/>
  <c r="BC254" i="1"/>
  <c r="BC259" i="1"/>
  <c r="BC263" i="1"/>
  <c r="BC267" i="1"/>
  <c r="BC271" i="1"/>
  <c r="BC275" i="1"/>
  <c r="BC279" i="1"/>
  <c r="BA243" i="1"/>
  <c r="BA247" i="1"/>
  <c r="BA251" i="1"/>
  <c r="BA255" i="1"/>
  <c r="BA260" i="1"/>
  <c r="BA264" i="1"/>
  <c r="BA268" i="1"/>
  <c r="BA272" i="1"/>
  <c r="BA276" i="1"/>
  <c r="BA280" i="1"/>
  <c r="BB243" i="1"/>
  <c r="BB247" i="1"/>
  <c r="BB251" i="1"/>
  <c r="BB255" i="1"/>
  <c r="BB260" i="1"/>
  <c r="BB264" i="1"/>
  <c r="BB268" i="1"/>
  <c r="BB272" i="1"/>
  <c r="BB276" i="1"/>
  <c r="BB280" i="1"/>
  <c r="BC243" i="1"/>
  <c r="BC247" i="1"/>
  <c r="BC251" i="1"/>
  <c r="BC255" i="1"/>
  <c r="BC260" i="1"/>
  <c r="BC264" i="1"/>
  <c r="BC268" i="1"/>
  <c r="BC272" i="1"/>
  <c r="BC276" i="1"/>
  <c r="BC280" i="1"/>
  <c r="BA244" i="1"/>
  <c r="BA248" i="1"/>
  <c r="BA252" i="1"/>
  <c r="BA256" i="1"/>
  <c r="BA261" i="1"/>
  <c r="BA265" i="1"/>
  <c r="BA269" i="1"/>
  <c r="BA273" i="1"/>
  <c r="BA277" i="1"/>
  <c r="BA281" i="1"/>
  <c r="AD274" i="1" l="1"/>
  <c r="AD266" i="1"/>
  <c r="AD262" i="1"/>
  <c r="AD251" i="1"/>
  <c r="AD281" i="1"/>
  <c r="AD255" i="1"/>
  <c r="AD277" i="1"/>
  <c r="AD280" i="1"/>
  <c r="AD273" i="1"/>
  <c r="AD268" i="1"/>
  <c r="AD243" i="1"/>
  <c r="AD276" i="1"/>
  <c r="AD272" i="1"/>
  <c r="AD250" i="1"/>
  <c r="AD247" i="1"/>
  <c r="AD248" i="1"/>
  <c r="AD256" i="1"/>
  <c r="AD259" i="1"/>
  <c r="AD265" i="1"/>
  <c r="AD261" i="1"/>
  <c r="AD269" i="1"/>
  <c r="AD270" i="1"/>
  <c r="AD252" i="1"/>
  <c r="AD253" i="1"/>
  <c r="AD244" i="1"/>
  <c r="AD242" i="1"/>
  <c r="AD245" i="1"/>
  <c r="AD267" i="1"/>
  <c r="AD263" i="1"/>
  <c r="AD279" i="1"/>
  <c r="AD254" i="1"/>
  <c r="AD282" i="1"/>
  <c r="AD275" i="1"/>
  <c r="AD271" i="1"/>
  <c r="AD246" i="1"/>
  <c r="AK258" i="1" l="1"/>
  <c r="AJ258" i="1"/>
  <c r="AI258" i="1"/>
  <c r="AH258" i="1"/>
  <c r="BA258" i="1"/>
  <c r="BB258" i="1" l="1"/>
  <c r="BC258" i="1"/>
  <c r="AK267" i="1" l="1"/>
  <c r="AI267" i="1"/>
  <c r="AJ267" i="1"/>
  <c r="AH267" i="1"/>
  <c r="AH243" i="1"/>
  <c r="AK243" i="1"/>
  <c r="AJ243" i="1"/>
  <c r="AI243" i="1"/>
  <c r="AK255" i="1"/>
  <c r="AJ255" i="1"/>
  <c r="AI255" i="1"/>
  <c r="AH255" i="1"/>
  <c r="AK268" i="1"/>
  <c r="AI268" i="1"/>
  <c r="AJ268" i="1"/>
  <c r="AH268" i="1"/>
  <c r="AK280" i="1"/>
  <c r="AI280" i="1"/>
  <c r="AJ280" i="1"/>
  <c r="AH280" i="1"/>
  <c r="AI244" i="1"/>
  <c r="AH244" i="1"/>
  <c r="AK244" i="1"/>
  <c r="AJ244" i="1"/>
  <c r="AK256" i="1"/>
  <c r="AJ256" i="1"/>
  <c r="AI256" i="1"/>
  <c r="AH256" i="1"/>
  <c r="AK269" i="1"/>
  <c r="AJ269" i="1"/>
  <c r="AI269" i="1"/>
  <c r="AH269" i="1"/>
  <c r="AI281" i="1"/>
  <c r="AJ281" i="1"/>
  <c r="AK281" i="1"/>
  <c r="AH281" i="1"/>
  <c r="AK245" i="1"/>
  <c r="AJ245" i="1"/>
  <c r="AI245" i="1"/>
  <c r="AH245" i="1"/>
  <c r="AI257" i="1"/>
  <c r="AH257" i="1"/>
  <c r="AK257" i="1"/>
  <c r="AJ257" i="1"/>
  <c r="AJ270" i="1"/>
  <c r="AK270" i="1"/>
  <c r="AH270" i="1"/>
  <c r="AI270" i="1"/>
  <c r="AJ282" i="1"/>
  <c r="AK282" i="1"/>
  <c r="AI282" i="1"/>
  <c r="AH282" i="1"/>
  <c r="AJ246" i="1"/>
  <c r="AI246" i="1"/>
  <c r="AH246" i="1"/>
  <c r="AK246" i="1"/>
  <c r="AK259" i="1"/>
  <c r="AJ259" i="1"/>
  <c r="AI259" i="1"/>
  <c r="AH259" i="1"/>
  <c r="AK271" i="1"/>
  <c r="AJ271" i="1"/>
  <c r="AI271" i="1"/>
  <c r="AH271" i="1"/>
  <c r="AK247" i="1"/>
  <c r="AJ247" i="1"/>
  <c r="AI247" i="1"/>
  <c r="AH247" i="1"/>
  <c r="AI260" i="1"/>
  <c r="AJ260" i="1"/>
  <c r="AK260" i="1"/>
  <c r="AH260" i="1"/>
  <c r="AJ272" i="1"/>
  <c r="AI272" i="1"/>
  <c r="AK272" i="1"/>
  <c r="AH272" i="1"/>
  <c r="AK248" i="1"/>
  <c r="AJ248" i="1"/>
  <c r="AI248" i="1"/>
  <c r="AH248" i="1"/>
  <c r="AK261" i="1"/>
  <c r="AI261" i="1"/>
  <c r="AJ261" i="1"/>
  <c r="AH261" i="1"/>
  <c r="AK273" i="1"/>
  <c r="AI273" i="1"/>
  <c r="AJ273" i="1"/>
  <c r="AH273" i="1"/>
  <c r="AK279" i="1"/>
  <c r="AJ279" i="1"/>
  <c r="AI279" i="1"/>
  <c r="AH279" i="1"/>
  <c r="AK249" i="1"/>
  <c r="AJ249" i="1"/>
  <c r="AI249" i="1"/>
  <c r="AH249" i="1"/>
  <c r="AI262" i="1"/>
  <c r="AH262" i="1"/>
  <c r="AJ262" i="1"/>
  <c r="AK262" i="1"/>
  <c r="AH274" i="1"/>
  <c r="AJ274" i="1"/>
  <c r="AK274" i="1"/>
  <c r="AI274" i="1"/>
  <c r="AK242" i="1"/>
  <c r="AJ242" i="1"/>
  <c r="AI242" i="1"/>
  <c r="AH242" i="1"/>
  <c r="AK250" i="1"/>
  <c r="AJ250" i="1"/>
  <c r="AI250" i="1"/>
  <c r="AH250" i="1"/>
  <c r="AK263" i="1"/>
  <c r="AJ263" i="1"/>
  <c r="AI263" i="1"/>
  <c r="AH263" i="1"/>
  <c r="AK275" i="1"/>
  <c r="AI275" i="1"/>
  <c r="AJ275" i="1"/>
  <c r="AH275" i="1"/>
  <c r="AH254" i="1"/>
  <c r="AK254" i="1"/>
  <c r="AJ254" i="1"/>
  <c r="AI254" i="1"/>
  <c r="AK251" i="1"/>
  <c r="AJ251" i="1"/>
  <c r="AI251" i="1"/>
  <c r="AH251" i="1"/>
  <c r="AK264" i="1"/>
  <c r="AI264" i="1"/>
  <c r="AJ264" i="1"/>
  <c r="AH264" i="1"/>
  <c r="AK276" i="1"/>
  <c r="AI276" i="1"/>
  <c r="AJ276" i="1"/>
  <c r="AH276" i="1"/>
  <c r="AK252" i="1"/>
  <c r="AJ252" i="1"/>
  <c r="AI252" i="1"/>
  <c r="AH252" i="1"/>
  <c r="AI265" i="1"/>
  <c r="AJ265" i="1"/>
  <c r="AK265" i="1"/>
  <c r="AH265" i="1"/>
  <c r="AK277" i="1"/>
  <c r="AJ277" i="1"/>
  <c r="AI277" i="1"/>
  <c r="AH277" i="1"/>
  <c r="AK253" i="1"/>
  <c r="AJ253" i="1"/>
  <c r="AI253" i="1"/>
  <c r="AH253" i="1"/>
  <c r="AJ266" i="1"/>
  <c r="AK266" i="1"/>
  <c r="AI266" i="1"/>
  <c r="AH266" i="1"/>
  <c r="AH278" i="1"/>
  <c r="AK278" i="1"/>
  <c r="AJ278" i="1"/>
  <c r="AI278" i="1"/>
  <c r="AD258" i="1"/>
  <c r="Y18" i="1" l="1"/>
  <c r="Y8" i="1"/>
  <c r="Y17" i="1"/>
  <c r="Y15" i="1"/>
  <c r="Y21" i="1"/>
  <c r="Y9" i="1"/>
  <c r="Y10" i="1"/>
  <c r="Y11" i="1"/>
  <c r="Y16" i="1"/>
  <c r="Y13" i="1"/>
  <c r="Y20" i="1"/>
  <c r="Y12" i="1"/>
  <c r="Y7" i="1"/>
  <c r="Y19" i="1"/>
  <c r="Y14" i="1"/>
  <c r="Y6" i="1" l="1"/>
  <c r="Y218" i="1" l="1"/>
  <c r="Y219" i="1"/>
  <c r="Y221" i="1"/>
  <c r="Y224" i="1"/>
  <c r="Y220" i="1"/>
  <c r="Y233" i="1"/>
  <c r="Y234" i="1"/>
  <c r="Y236" i="1"/>
  <c r="Y225" i="1"/>
  <c r="Y226" i="1"/>
  <c r="Y227" i="1"/>
  <c r="Y239" i="1"/>
  <c r="Y231" i="1"/>
  <c r="Y222" i="1"/>
  <c r="Y237" i="1"/>
  <c r="Y240" i="1"/>
  <c r="Y230" i="1"/>
  <c r="Y232" i="1"/>
  <c r="Y223" i="1"/>
  <c r="Y235" i="1"/>
  <c r="Y238" i="1"/>
  <c r="Y228" i="1"/>
  <c r="Y229" i="1"/>
  <c r="Y24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6" i="1"/>
  <c r="Y187" i="1" l="1"/>
  <c r="Y186" i="1"/>
  <c r="Y200" i="1"/>
  <c r="Y201" i="1"/>
  <c r="Y179" i="1"/>
  <c r="Y192" i="1"/>
  <c r="Y181" i="1"/>
  <c r="Y193" i="1"/>
  <c r="Y189" i="1"/>
  <c r="Y190" i="1"/>
  <c r="Y137" i="1"/>
  <c r="Y177" i="1"/>
  <c r="Y183" i="1"/>
  <c r="Y195" i="1"/>
  <c r="Y191" i="1"/>
  <c r="Y180" i="1"/>
  <c r="Y182" i="1"/>
  <c r="Y184" i="1"/>
  <c r="Y196" i="1"/>
  <c r="Y198" i="1"/>
  <c r="Y199" i="1"/>
  <c r="Y188" i="1"/>
  <c r="Y194" i="1"/>
  <c r="Y185" i="1"/>
  <c r="Y197" i="1"/>
  <c r="Y178" i="1"/>
  <c r="Y96" i="1" l="1"/>
  <c r="Y115" i="1"/>
  <c r="Y116" i="1"/>
  <c r="Y100" i="1"/>
  <c r="Y118" i="1"/>
  <c r="Y114" i="1"/>
  <c r="Y103" i="1"/>
  <c r="Y110" i="1"/>
  <c r="Y99" i="1"/>
  <c r="Y117" i="1"/>
  <c r="Y106" i="1"/>
  <c r="Y112" i="1"/>
  <c r="Y102" i="1"/>
  <c r="Y97" i="1"/>
  <c r="Y98" i="1"/>
  <c r="Y111" i="1"/>
  <c r="Y107" i="1"/>
  <c r="Y113" i="1"/>
  <c r="Y119" i="1"/>
  <c r="Y108" i="1"/>
  <c r="Y109" i="1"/>
  <c r="Y104" i="1"/>
  <c r="Y105" i="1"/>
  <c r="Y101" i="1"/>
  <c r="Y95" i="1"/>
  <c r="Y78" i="1" l="1"/>
  <c r="Y77" i="1"/>
  <c r="Y76" i="1"/>
  <c r="Y75" i="1"/>
  <c r="Y74" i="1"/>
  <c r="Y73" i="1"/>
  <c r="Y72" i="1"/>
  <c r="Y71" i="1"/>
  <c r="Y70" i="1"/>
  <c r="Y34" i="1" l="1"/>
  <c r="Y23" i="1" l="1"/>
  <c r="Y22" i="1" l="1"/>
  <c r="Y24" i="1"/>
  <c r="AI1" i="1" l="1"/>
  <c r="AJ1" i="1" l="1"/>
  <c r="BA171" i="1" l="1"/>
  <c r="Y171" i="1"/>
  <c r="BA216" i="1"/>
  <c r="BC167" i="1"/>
  <c r="BB210" i="1"/>
  <c r="BB215" i="1"/>
  <c r="BA215" i="1"/>
  <c r="BC215" i="1"/>
  <c r="BA172" i="1"/>
  <c r="BA210" i="1"/>
  <c r="BB202" i="1"/>
  <c r="BA202" i="1"/>
  <c r="BC214" i="1"/>
  <c r="BC208" i="1"/>
  <c r="BC209" i="1"/>
  <c r="BA173" i="1"/>
  <c r="BA203" i="1"/>
  <c r="BC165" i="1"/>
  <c r="BB165" i="1"/>
  <c r="BA165" i="1"/>
  <c r="BC213" i="1"/>
  <c r="BB167" i="1"/>
  <c r="BB214" i="1"/>
  <c r="BC174" i="1"/>
  <c r="BC203" i="1"/>
  <c r="BB204" i="1"/>
  <c r="BA213" i="1"/>
  <c r="AD213" i="1"/>
  <c r="BB208" i="1"/>
  <c r="BC168" i="1"/>
  <c r="BB86" i="1"/>
  <c r="BC84" i="1"/>
  <c r="BC38" i="1"/>
  <c r="BA83" i="1"/>
  <c r="BA217" i="1"/>
  <c r="BC217" i="1"/>
  <c r="AD217" i="1"/>
  <c r="BB217" i="1"/>
  <c r="BA211" i="1"/>
  <c r="BC211" i="1"/>
  <c r="BB211" i="1"/>
  <c r="BC205" i="1"/>
  <c r="BB175" i="1"/>
  <c r="BA206" i="1"/>
  <c r="BC206" i="1"/>
  <c r="BB176" i="1"/>
  <c r="Y176" i="1"/>
  <c r="BC176" i="1"/>
  <c r="BC170" i="1"/>
  <c r="BB170" i="1"/>
  <c r="BC164" i="1"/>
  <c r="BB164" i="1"/>
  <c r="BA164" i="1"/>
  <c r="Y207" i="1"/>
  <c r="BA207" i="1"/>
  <c r="BC207" i="1"/>
  <c r="BB207" i="1"/>
  <c r="BC212" i="1"/>
  <c r="BB168" i="1"/>
  <c r="BC132" i="1"/>
  <c r="BA131" i="1"/>
  <c r="BC127" i="1"/>
  <c r="BB127" i="1"/>
  <c r="BC126" i="1"/>
  <c r="BB126" i="1"/>
  <c r="BA126" i="1"/>
  <c r="Y126" i="1"/>
  <c r="BC125" i="1"/>
  <c r="BB125" i="1"/>
  <c r="BA125" i="1"/>
  <c r="AD125" i="1"/>
  <c r="BC120" i="1"/>
  <c r="BC92" i="1"/>
  <c r="BB91" i="1"/>
  <c r="AD91" i="1"/>
  <c r="BA90" i="1"/>
  <c r="BC90" i="1"/>
  <c r="BB90" i="1"/>
  <c r="BA89" i="1"/>
  <c r="BB89" i="1"/>
  <c r="BA86" i="1"/>
  <c r="BB84" i="1"/>
  <c r="BC79" i="1"/>
  <c r="BB135" i="1"/>
  <c r="BA135" i="1"/>
  <c r="BB129" i="1"/>
  <c r="BA129" i="1"/>
  <c r="BA123" i="1"/>
  <c r="BC123" i="1"/>
  <c r="BA93" i="1"/>
  <c r="BB93" i="1"/>
  <c r="BA87" i="1"/>
  <c r="BB92" i="1"/>
  <c r="BC129" i="1"/>
  <c r="BA128" i="1"/>
  <c r="BC52" i="1"/>
  <c r="BB52" i="1"/>
  <c r="BA52" i="1"/>
  <c r="BC50" i="1"/>
  <c r="BB50" i="1"/>
  <c r="BC48" i="1"/>
  <c r="BB46" i="1"/>
  <c r="BC46" i="1"/>
  <c r="BC44" i="1"/>
  <c r="BB44" i="1"/>
  <c r="BB43" i="1"/>
  <c r="BA43" i="1"/>
  <c r="BC42" i="1"/>
  <c r="BB40" i="1"/>
  <c r="BA40" i="1"/>
  <c r="BC53" i="1"/>
  <c r="BB53" i="1"/>
  <c r="BA51" i="1"/>
  <c r="BC45" i="1"/>
  <c r="BB45" i="1"/>
  <c r="BA41" i="1"/>
  <c r="BC39" i="1"/>
  <c r="BA127" i="1"/>
  <c r="BB38" i="1"/>
  <c r="BB79" i="1"/>
  <c r="BC161" i="1"/>
  <c r="BA80" i="1"/>
  <c r="BC121" i="1"/>
  <c r="BA47" i="1"/>
  <c r="AD211" i="1" l="1"/>
  <c r="AD176" i="1"/>
  <c r="AD169" i="1"/>
  <c r="AD126" i="1"/>
  <c r="AD164" i="1"/>
  <c r="AD89" i="1"/>
  <c r="AD172" i="1"/>
  <c r="Y175" i="1"/>
  <c r="Y83" i="1"/>
  <c r="Y203" i="1"/>
  <c r="BB49" i="1"/>
  <c r="BB41" i="1"/>
  <c r="BC40" i="1"/>
  <c r="BA48" i="1"/>
  <c r="Y93" i="1"/>
  <c r="BB123" i="1"/>
  <c r="BA122" i="1"/>
  <c r="BA175" i="1"/>
  <c r="BA205" i="1"/>
  <c r="BC86" i="1"/>
  <c r="BA168" i="1"/>
  <c r="BC173" i="1"/>
  <c r="AD209" i="1"/>
  <c r="BB166" i="1"/>
  <c r="Y162" i="1"/>
  <c r="AD167" i="1"/>
  <c r="Y167" i="1"/>
  <c r="Y216" i="1"/>
  <c r="Y217" i="1"/>
  <c r="Y121" i="1"/>
  <c r="BA39" i="1"/>
  <c r="BC41" i="1"/>
  <c r="BB48" i="1"/>
  <c r="Y88" i="1"/>
  <c r="Y87" i="1"/>
  <c r="BC93" i="1"/>
  <c r="AD123" i="1"/>
  <c r="Y89" i="1"/>
  <c r="BB134" i="1"/>
  <c r="BC175" i="1"/>
  <c r="Y125" i="1"/>
  <c r="BA130" i="1"/>
  <c r="Y168" i="1"/>
  <c r="AD120" i="1"/>
  <c r="BA174" i="1"/>
  <c r="Y173" i="1"/>
  <c r="AD208" i="1"/>
  <c r="BC202" i="1"/>
  <c r="BB172" i="1"/>
  <c r="BA162" i="1"/>
  <c r="BA167" i="1"/>
  <c r="BC49" i="1"/>
  <c r="BB39" i="1"/>
  <c r="BB51" i="1"/>
  <c r="BA53" i="1"/>
  <c r="BA42" i="1"/>
  <c r="BA88" i="1"/>
  <c r="BA82" i="1"/>
  <c r="BA124" i="1"/>
  <c r="BB87" i="1"/>
  <c r="AD93" i="1"/>
  <c r="AD129" i="1"/>
  <c r="BC89" i="1"/>
  <c r="BA91" i="1"/>
  <c r="Y92" i="1"/>
  <c r="BA120" i="1"/>
  <c r="BC134" i="1"/>
  <c r="BA212" i="1"/>
  <c r="Y169" i="1"/>
  <c r="AD175" i="1"/>
  <c r="AD94" i="1"/>
  <c r="Y130" i="1"/>
  <c r="BA84" i="1"/>
  <c r="Y85" i="1"/>
  <c r="Y86" i="1"/>
  <c r="Y170" i="1"/>
  <c r="BA204" i="1"/>
  <c r="Y172" i="1"/>
  <c r="AD207" i="1"/>
  <c r="Y166" i="1"/>
  <c r="Y161" i="1"/>
  <c r="BC88" i="1"/>
  <c r="BC82" i="1"/>
  <c r="BA94" i="1"/>
  <c r="BB124" i="1"/>
  <c r="BA81" i="1"/>
  <c r="AD87" i="1"/>
  <c r="Y90" i="1"/>
  <c r="BA92" i="1"/>
  <c r="BB120" i="1"/>
  <c r="BB128" i="1"/>
  <c r="BA169" i="1"/>
  <c r="BB205" i="1"/>
  <c r="BB130" i="1"/>
  <c r="BA85" i="1"/>
  <c r="Y135" i="1"/>
  <c r="Y91" i="1"/>
  <c r="AD205" i="1"/>
  <c r="AD202" i="1"/>
  <c r="Y209" i="1"/>
  <c r="BC172" i="1"/>
  <c r="BB162" i="1"/>
  <c r="Y210" i="1"/>
  <c r="AD131" i="1"/>
  <c r="BB171" i="1"/>
  <c r="BC83" i="1"/>
  <c r="BA166" i="1"/>
  <c r="BB83" i="1"/>
  <c r="BC171" i="1"/>
  <c r="BB47" i="1"/>
  <c r="BA49" i="1"/>
  <c r="BA45" i="1"/>
  <c r="BB42" i="1"/>
  <c r="BB88" i="1"/>
  <c r="Y94" i="1"/>
  <c r="BC124" i="1"/>
  <c r="BB81" i="1"/>
  <c r="BC87" i="1"/>
  <c r="BC128" i="1"/>
  <c r="Y133" i="1"/>
  <c r="BB212" i="1"/>
  <c r="BC130" i="1"/>
  <c r="BB80" i="1"/>
  <c r="BB85" i="1"/>
  <c r="BB203" i="1"/>
  <c r="Y208" i="1"/>
  <c r="BA209" i="1"/>
  <c r="BC162" i="1"/>
  <c r="BC210" i="1"/>
  <c r="Y132" i="1"/>
  <c r="BB163" i="1"/>
  <c r="BC47" i="1"/>
  <c r="BC51" i="1"/>
  <c r="BA50" i="1"/>
  <c r="BB82" i="1"/>
  <c r="BB94" i="1"/>
  <c r="BC81" i="1"/>
  <c r="AD79" i="1"/>
  <c r="BC91" i="1"/>
  <c r="BC122" i="1"/>
  <c r="Y131" i="1"/>
  <c r="BA133" i="1"/>
  <c r="Y134" i="1"/>
  <c r="BA163" i="1"/>
  <c r="BC80" i="1"/>
  <c r="Y84" i="1"/>
  <c r="AD135" i="1"/>
  <c r="BA208" i="1"/>
  <c r="Y214" i="1"/>
  <c r="BA161" i="1"/>
  <c r="AD162" i="1"/>
  <c r="Y215" i="1"/>
  <c r="Y211" i="1"/>
  <c r="AD168" i="1"/>
  <c r="BC166" i="1"/>
  <c r="BA44" i="1"/>
  <c r="BA121" i="1"/>
  <c r="BC94" i="1"/>
  <c r="BA79" i="1"/>
  <c r="BB122" i="1"/>
  <c r="BB133" i="1"/>
  <c r="BB206" i="1"/>
  <c r="BC169" i="1"/>
  <c r="Y213" i="1"/>
  <c r="BB173" i="1"/>
  <c r="Y174" i="1"/>
  <c r="BA214" i="1"/>
  <c r="BB209" i="1"/>
  <c r="BC204" i="1"/>
  <c r="BB216" i="1"/>
  <c r="BC43" i="1"/>
  <c r="BA46" i="1"/>
  <c r="BB121" i="1"/>
  <c r="Y129" i="1"/>
  <c r="BC135" i="1"/>
  <c r="Y127" i="1"/>
  <c r="Y128" i="1"/>
  <c r="BB131" i="1"/>
  <c r="BA132" i="1"/>
  <c r="BC133" i="1"/>
  <c r="BA134" i="1"/>
  <c r="BA170" i="1"/>
  <c r="BA176" i="1"/>
  <c r="BB169" i="1"/>
  <c r="BA38" i="1"/>
  <c r="BC85" i="1"/>
  <c r="BB213" i="1"/>
  <c r="BB174" i="1"/>
  <c r="Y212" i="1"/>
  <c r="BB161" i="1"/>
  <c r="AD166" i="1"/>
  <c r="BC216" i="1"/>
  <c r="AD163" i="1"/>
  <c r="BC131" i="1"/>
  <c r="BB132" i="1"/>
  <c r="BC163" i="1"/>
  <c r="AD203" i="1" l="1"/>
  <c r="AD171" i="1"/>
  <c r="AD85" i="1"/>
  <c r="AD128" i="1"/>
  <c r="AD214" i="1"/>
  <c r="AD133" i="1"/>
  <c r="AD161" i="1"/>
  <c r="Y164" i="1"/>
  <c r="AD90" i="1"/>
  <c r="AD204" i="1"/>
  <c r="AD86" i="1"/>
  <c r="AD83" i="1"/>
  <c r="AD127" i="1"/>
  <c r="AD130" i="1"/>
  <c r="AD132" i="1"/>
  <c r="AD81" i="1"/>
  <c r="AD170" i="1"/>
  <c r="AD88" i="1"/>
  <c r="AD174" i="1"/>
  <c r="AD84" i="1"/>
  <c r="Y204" i="1"/>
  <c r="Y202" i="1"/>
  <c r="Y81" i="1"/>
  <c r="Y79" i="1"/>
  <c r="AD82" i="1"/>
  <c r="AD173" i="1"/>
  <c r="Y124" i="1"/>
  <c r="AD134" i="1"/>
  <c r="AD212" i="1"/>
  <c r="Y165" i="1"/>
  <c r="Y122" i="1"/>
  <c r="AD121" i="1"/>
  <c r="AD92" i="1"/>
  <c r="Y206" i="1"/>
  <c r="AD206" i="1"/>
  <c r="AD124" i="1"/>
  <c r="AD216" i="1"/>
  <c r="AD122" i="1"/>
  <c r="Y163" i="1"/>
  <c r="AD210" i="1"/>
  <c r="AD215" i="1"/>
  <c r="Y123" i="1"/>
  <c r="Y80" i="1"/>
  <c r="AD80" i="1"/>
  <c r="Y205" i="1"/>
  <c r="Y120" i="1"/>
  <c r="Y82" i="1"/>
  <c r="AD165" i="1"/>
</calcChain>
</file>

<file path=xl/sharedStrings.xml><?xml version="1.0" encoding="utf-8"?>
<sst xmlns="http://schemas.openxmlformats.org/spreadsheetml/2006/main" count="4897" uniqueCount="141">
  <si>
    <t>(판매유형)</t>
    <phoneticPr fontId="3" type="noConversion"/>
  </si>
  <si>
    <t>(제품군)</t>
    <phoneticPr fontId="3" type="noConversion"/>
  </si>
  <si>
    <t>(제품_대)</t>
    <phoneticPr fontId="3" type="noConversion"/>
  </si>
  <si>
    <t>(제품_중)</t>
    <phoneticPr fontId="3" type="noConversion"/>
  </si>
  <si>
    <t>(제품_규격)</t>
    <phoneticPr fontId="3" type="noConversion"/>
  </si>
  <si>
    <t>(제품_용도)</t>
    <phoneticPr fontId="3" type="noConversion"/>
  </si>
  <si>
    <t>(경로_대)</t>
    <phoneticPr fontId="3" type="noConversion"/>
  </si>
  <si>
    <t>(경로_중)</t>
    <phoneticPr fontId="3" type="noConversion"/>
  </si>
  <si>
    <t>(산업군)</t>
    <phoneticPr fontId="3" type="noConversion"/>
  </si>
  <si>
    <t>(산업군_상세)</t>
    <phoneticPr fontId="3" type="noConversion"/>
  </si>
  <si>
    <t>(수요처)</t>
    <phoneticPr fontId="3" type="noConversion"/>
  </si>
  <si>
    <t>(제품별 추가)</t>
    <phoneticPr fontId="3" type="noConversion"/>
  </si>
  <si>
    <t>톤</t>
    <phoneticPr fontId="9" type="noConversion"/>
  </si>
  <si>
    <t>백만원</t>
    <phoneticPr fontId="9" type="noConversion"/>
  </si>
  <si>
    <t>천원/톤</t>
    <phoneticPr fontId="9" type="noConversion"/>
  </si>
  <si>
    <t>천원/톤</t>
  </si>
  <si>
    <t>$/톤</t>
    <phoneticPr fontId="9" type="noConversion"/>
  </si>
  <si>
    <t>$/톤</t>
    <phoneticPr fontId="3" type="noConversion"/>
  </si>
  <si>
    <t>백만$</t>
    <phoneticPr fontId="9" type="noConversion"/>
  </si>
  <si>
    <t>백만$</t>
  </si>
  <si>
    <t>%</t>
    <phoneticPr fontId="9" type="noConversion"/>
  </si>
  <si>
    <t>사업부</t>
    <phoneticPr fontId="9" type="noConversion"/>
  </si>
  <si>
    <t>영업실</t>
    <phoneticPr fontId="9" type="noConversion"/>
  </si>
  <si>
    <t>공장</t>
    <phoneticPr fontId="3" type="noConversion"/>
  </si>
  <si>
    <t>제품1</t>
    <phoneticPr fontId="9" type="noConversion"/>
  </si>
  <si>
    <t>제품2</t>
    <phoneticPr fontId="3" type="noConversion"/>
  </si>
  <si>
    <t>제품3</t>
    <phoneticPr fontId="9" type="noConversion"/>
  </si>
  <si>
    <t>제품4</t>
    <phoneticPr fontId="9" type="noConversion"/>
  </si>
  <si>
    <t>제품5</t>
    <phoneticPr fontId="3" type="noConversion"/>
  </si>
  <si>
    <t>제품6</t>
    <phoneticPr fontId="3" type="noConversion"/>
  </si>
  <si>
    <t>경로1</t>
    <phoneticPr fontId="9" type="noConversion"/>
  </si>
  <si>
    <t>경로2</t>
    <phoneticPr fontId="9" type="noConversion"/>
  </si>
  <si>
    <t>경로3</t>
    <phoneticPr fontId="3" type="noConversion"/>
  </si>
  <si>
    <t>경로4</t>
    <phoneticPr fontId="3" type="noConversion"/>
  </si>
  <si>
    <t>경로5</t>
    <phoneticPr fontId="3" type="noConversion"/>
  </si>
  <si>
    <t>경로6</t>
    <phoneticPr fontId="3" type="noConversion"/>
  </si>
  <si>
    <t>비고</t>
    <phoneticPr fontId="3" type="noConversion"/>
  </si>
  <si>
    <t>고객명</t>
    <phoneticPr fontId="3" type="noConversion"/>
  </si>
  <si>
    <t>권역명</t>
    <phoneticPr fontId="3" type="noConversion"/>
  </si>
  <si>
    <t>일자</t>
    <phoneticPr fontId="9" type="noConversion"/>
  </si>
  <si>
    <t>분기</t>
    <phoneticPr fontId="9" type="noConversion"/>
  </si>
  <si>
    <t>반기</t>
    <phoneticPr fontId="9" type="noConversion"/>
  </si>
  <si>
    <t>환율</t>
    <phoneticPr fontId="9" type="noConversion"/>
  </si>
  <si>
    <t>수량</t>
    <phoneticPr fontId="9" type="noConversion"/>
  </si>
  <si>
    <t>금액</t>
    <phoneticPr fontId="9" type="noConversion"/>
  </si>
  <si>
    <t>단가</t>
    <phoneticPr fontId="9" type="noConversion"/>
  </si>
  <si>
    <t>Base</t>
    <phoneticPr fontId="3" type="noConversion"/>
  </si>
  <si>
    <t>Extra</t>
    <phoneticPr fontId="3" type="noConversion"/>
  </si>
  <si>
    <t>운임</t>
    <phoneticPr fontId="3" type="noConversion"/>
  </si>
  <si>
    <t>USD</t>
    <phoneticPr fontId="9" type="noConversion"/>
  </si>
  <si>
    <t>FOB.E</t>
    <phoneticPr fontId="9" type="noConversion"/>
  </si>
  <si>
    <t>선임</t>
    <phoneticPr fontId="9" type="noConversion"/>
  </si>
  <si>
    <t>관세</t>
    <phoneticPr fontId="3" type="noConversion"/>
  </si>
  <si>
    <t>USD(금액)</t>
    <phoneticPr fontId="9" type="noConversion"/>
  </si>
  <si>
    <t>FOB.E(금액)</t>
    <phoneticPr fontId="9" type="noConversion"/>
  </si>
  <si>
    <t>선임(금액)</t>
    <phoneticPr fontId="9" type="noConversion"/>
  </si>
  <si>
    <t>관세(금액)</t>
    <phoneticPr fontId="3" type="noConversion"/>
  </si>
  <si>
    <t>영업이익</t>
    <phoneticPr fontId="9" type="noConversion"/>
  </si>
  <si>
    <t>손익</t>
    <phoneticPr fontId="9" type="noConversion"/>
  </si>
  <si>
    <t>총원가</t>
    <phoneticPr fontId="9" type="noConversion"/>
  </si>
  <si>
    <t>경상이익</t>
    <phoneticPr fontId="9" type="noConversion"/>
  </si>
  <si>
    <t>변경전</t>
    <phoneticPr fontId="9" type="noConversion"/>
  </si>
  <si>
    <t>그룹원가</t>
    <phoneticPr fontId="9" type="noConversion"/>
  </si>
  <si>
    <t>변경후</t>
    <phoneticPr fontId="9" type="noConversion"/>
  </si>
  <si>
    <t>영업이익F</t>
    <phoneticPr fontId="9" type="noConversion"/>
  </si>
  <si>
    <t>총원가F</t>
    <phoneticPr fontId="9" type="noConversion"/>
  </si>
  <si>
    <t>산업강재영업사업부</t>
  </si>
  <si>
    <t>후판영업실</t>
  </si>
  <si>
    <t>후판</t>
  </si>
  <si>
    <t>내수</t>
  </si>
  <si>
    <t>기존</t>
    <phoneticPr fontId="3" type="noConversion"/>
  </si>
  <si>
    <t>변경</t>
    <phoneticPr fontId="3" type="noConversion"/>
  </si>
  <si>
    <t>제품군 대분류</t>
    <phoneticPr fontId="9" type="noConversion"/>
  </si>
  <si>
    <t>품종</t>
    <phoneticPr fontId="3" type="noConversion"/>
  </si>
  <si>
    <t>품명</t>
    <phoneticPr fontId="9" type="noConversion"/>
  </si>
  <si>
    <t>내수수출</t>
    <phoneticPr fontId="9" type="noConversion"/>
  </si>
  <si>
    <t>팀파트</t>
    <phoneticPr fontId="3" type="noConversion"/>
  </si>
  <si>
    <t>고객그룹</t>
    <phoneticPr fontId="3" type="noConversion"/>
  </si>
  <si>
    <t>기준년월</t>
    <phoneticPr fontId="9" type="noConversion"/>
  </si>
  <si>
    <t>판재</t>
  </si>
  <si>
    <t>정정Plate</t>
  </si>
  <si>
    <t>당진 후판</t>
  </si>
  <si>
    <t>수출</t>
  </si>
  <si>
    <t>제품_특성</t>
    <phoneticPr fontId="3" type="noConversion"/>
  </si>
  <si>
    <t>제품_용도</t>
    <phoneticPr fontId="3" type="noConversion"/>
  </si>
  <si>
    <t>[후판]에너지내수파트</t>
  </si>
  <si>
    <t>[후판]건설산업파트</t>
  </si>
  <si>
    <t>[후판]주문외파트</t>
  </si>
  <si>
    <t>[후판]HD현대파트</t>
  </si>
  <si>
    <t>[후판]대형중소조선파트</t>
  </si>
  <si>
    <t>[후판]수출파트</t>
  </si>
  <si>
    <t>[후판]에너지수출파트</t>
  </si>
  <si>
    <t>[후판]수출주문외파트</t>
  </si>
  <si>
    <t>규격_분류</t>
    <phoneticPr fontId="9" type="noConversion"/>
  </si>
  <si>
    <t>글로벌_고객그룹</t>
    <phoneticPr fontId="3" type="noConversion"/>
  </si>
  <si>
    <t>정품구분</t>
    <phoneticPr fontId="3" type="noConversion"/>
  </si>
  <si>
    <t>회의자료_대분류</t>
    <phoneticPr fontId="3" type="noConversion"/>
  </si>
  <si>
    <t>후판 조선</t>
  </si>
  <si>
    <t>후판 비조선</t>
  </si>
  <si>
    <t>후판 수출</t>
  </si>
  <si>
    <r>
      <t>※ 초록색: 표준원가 맵핑을 위한 필수Key필드 → 코드준수</t>
    </r>
    <r>
      <rPr>
        <b/>
        <sz val="10"/>
        <color rgb="FFFF0000"/>
        <rFont val="Gulim"/>
        <family val="2"/>
        <charset val="129"/>
      </rPr>
      <t>必</t>
    </r>
    <phoneticPr fontId="3" type="noConversion"/>
  </si>
  <si>
    <t>미국</t>
  </si>
  <si>
    <t>캐나다</t>
  </si>
  <si>
    <t>EU</t>
  </si>
  <si>
    <t>기타유럽</t>
  </si>
  <si>
    <t>중화권</t>
  </si>
  <si>
    <t>일본</t>
  </si>
  <si>
    <t>동남아</t>
  </si>
  <si>
    <t>대양주</t>
  </si>
  <si>
    <t>중동</t>
  </si>
  <si>
    <t>주문외</t>
  </si>
  <si>
    <t>정품</t>
  </si>
  <si>
    <t>후판_후육압보사</t>
  </si>
  <si>
    <t>후판_건설/철구</t>
  </si>
  <si>
    <t>후판_유통/기타</t>
  </si>
  <si>
    <t>후판_일반</t>
  </si>
  <si>
    <t>후판 수출</t>
    <phoneticPr fontId="3" type="noConversion"/>
  </si>
  <si>
    <t>미지정</t>
  </si>
  <si>
    <t>후판_조선_HD</t>
  </si>
  <si>
    <t>후판_조선_기타</t>
  </si>
  <si>
    <t>한국</t>
  </si>
  <si>
    <t>자동차강재영업사업부</t>
    <phoneticPr fontId="3" type="noConversion"/>
  </si>
  <si>
    <t>HMG차강판영업실</t>
    <phoneticPr fontId="3" type="noConversion"/>
  </si>
  <si>
    <t>[열연]HMG파트</t>
  </si>
  <si>
    <t>Basex수량</t>
    <phoneticPr fontId="3" type="noConversion"/>
  </si>
  <si>
    <t>Extrax수량</t>
    <phoneticPr fontId="3" type="noConversion"/>
  </si>
  <si>
    <t>운임x수량</t>
    <phoneticPr fontId="3" type="noConversion"/>
  </si>
  <si>
    <t>HMG</t>
  </si>
  <si>
    <t>HMG</t>
    <phoneticPr fontId="3" type="noConversion"/>
  </si>
  <si>
    <t>자동차강재영업사업부</t>
  </si>
  <si>
    <t>HMG차강판영업실</t>
  </si>
  <si>
    <t>전기협상가</t>
  </si>
  <si>
    <t>당기협상가</t>
  </si>
  <si>
    <t>기타</t>
  </si>
  <si>
    <t>9%니켈</t>
  </si>
  <si>
    <t>5%니켈</t>
  </si>
  <si>
    <t>압력용기</t>
  </si>
  <si>
    <t>방탄강</t>
  </si>
  <si>
    <t>후판_산업기계</t>
  </si>
  <si>
    <t>중남미</t>
  </si>
  <si>
    <t>인도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</si>
</sst>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\$#,##0"/>
    <numFmt numFmtId="178" formatCode="#,##0.0"/>
    <numFmt numFmtId="179" formatCode="#,##0.00000"/>
    <numFmt numFmtId="180" formatCode="#,##0;\△#,##0;&quot;&quot;"/>
    <numFmt numFmtId="181" formatCode="\$#,##0;\△\$#,##0;&quot;&quot;"/>
    <numFmt numFmtId="182" formatCode="#,##0;\△#,##0;"/>
    <numFmt numFmtId="183" formatCode="#,##0.000"/>
  </numFmts>
  <fonts count="13">
    <font>
      <sz val="10"/>
      <color theme="1"/>
      <name val="현대하모니 L"/>
      <family val="2"/>
      <charset val="129"/>
    </font>
    <font>
      <sz val="10"/>
      <color theme="1"/>
      <name val="현대하모니 L"/>
      <family val="2"/>
      <charset val="129"/>
    </font>
    <font>
      <b/>
      <sz val="16"/>
      <color theme="1"/>
      <name val="현대산스 Text"/>
      <family val="3"/>
      <charset val="129"/>
    </font>
    <font>
      <sz val="8"/>
      <name val="현대하모니 L"/>
      <family val="2"/>
      <charset val="129"/>
    </font>
    <font>
      <sz val="10"/>
      <name val="현대하모니 L"/>
      <family val="1"/>
      <charset val="129"/>
    </font>
    <font>
      <b/>
      <sz val="10"/>
      <color theme="1"/>
      <name val="현대산스 Text"/>
      <family val="3"/>
      <charset val="129"/>
    </font>
    <font>
      <sz val="10"/>
      <color theme="1"/>
      <name val="현대하모니 L"/>
      <family val="1"/>
      <charset val="129"/>
    </font>
    <font>
      <b/>
      <sz val="10"/>
      <color theme="0"/>
      <name val="현대하모니 L"/>
      <family val="1"/>
      <charset val="129"/>
    </font>
    <font>
      <sz val="10"/>
      <color theme="0" tint="-0.249977111117893"/>
      <name val="현대하모니 L"/>
      <family val="1"/>
      <charset val="129"/>
    </font>
    <font>
      <sz val="8"/>
      <name val="맑은 고딕"/>
      <family val="2"/>
      <charset val="129"/>
      <scheme val="minor"/>
    </font>
    <font>
      <b/>
      <sz val="10"/>
      <color rgb="FFFF0000"/>
      <name val="현대하모니 L"/>
      <family val="1"/>
      <charset val="129"/>
    </font>
    <font>
      <b/>
      <sz val="10"/>
      <color rgb="FFFF0000"/>
      <name val="현대하모니 L"/>
      <family val="2"/>
      <charset val="129"/>
    </font>
    <font>
      <b/>
      <sz val="10"/>
      <color rgb="FFFF0000"/>
      <name val="Gulim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8498B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0" xfId="0" quotePrefix="1" applyNumberFormat="1" applyAlignment="1">
      <alignment horizontal="right" vertical="center"/>
    </xf>
    <xf numFmtId="9" fontId="0" fillId="0" borderId="0" xfId="2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6" fillId="0" borderId="0" xfId="0" applyNumberFormat="1" applyFo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41" fontId="4" fillId="4" borderId="0" xfId="0" applyNumberFormat="1" applyFont="1" applyFill="1">
      <alignment vertical="center"/>
    </xf>
    <xf numFmtId="180" fontId="4" fillId="4" borderId="0" xfId="0" applyNumberFormat="1" applyFont="1" applyFill="1">
      <alignment vertical="center"/>
    </xf>
    <xf numFmtId="181" fontId="4" fillId="4" borderId="0" xfId="0" applyNumberFormat="1" applyFont="1" applyFill="1">
      <alignment vertical="center"/>
    </xf>
    <xf numFmtId="181" fontId="4" fillId="0" borderId="0" xfId="0" applyNumberFormat="1" applyFo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0" xfId="0" applyAlignment="1"/>
    <xf numFmtId="0" fontId="11" fillId="0" borderId="0" xfId="0" applyFont="1">
      <alignment vertical="center"/>
    </xf>
    <xf numFmtId="180" fontId="4" fillId="0" borderId="0" xfId="0" applyNumberFormat="1" applyFont="1">
      <alignment vertical="center"/>
    </xf>
    <xf numFmtId="182" fontId="4" fillId="0" borderId="0" xfId="0" applyNumberFormat="1" applyFont="1">
      <alignment vertical="center"/>
    </xf>
    <xf numFmtId="41" fontId="4" fillId="0" borderId="0" xfId="0" applyNumberFormat="1" applyFont="1" applyAlignment="1">
      <alignment horizontal="center" vertical="center"/>
    </xf>
    <xf numFmtId="41" fontId="4" fillId="0" borderId="0" xfId="0" applyNumberFormat="1" applyFont="1">
      <alignment vertical="center"/>
    </xf>
    <xf numFmtId="43" fontId="4" fillId="0" borderId="0" xfId="0" applyNumberFormat="1" applyFont="1">
      <alignment vertical="center"/>
    </xf>
    <xf numFmtId="183" fontId="0" fillId="0" borderId="0" xfId="0" applyNumberFormat="1" applyAlignment="1">
      <alignment horizontal="righ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05E3-804B-4FA7-87E7-A3F3E3DB9C5F}">
  <sheetPr codeName="Sheet1">
    <tabColor theme="3" tint="0.89999084444715716"/>
  </sheetPr>
  <dimension ref="A1:BC282"/>
  <sheetViews>
    <sheetView showGridLines="0" tabSelected="1" zoomScaleNormal="100" workbookViewId="0">
      <pane xSplit="1" ySplit="5" topLeftCell="N237" activePane="bottomRight" state="frozen"/>
      <selection activeCell="W32" sqref="B32:W32"/>
      <selection pane="topRight" activeCell="W32" sqref="B32:W32"/>
      <selection pane="bottomLeft" activeCell="W32" sqref="B32:W32"/>
      <selection pane="bottomRight" activeCell="V246" sqref="V246"/>
    </sheetView>
  </sheetViews>
  <sheetFormatPr defaultRowHeight="13"/>
  <cols>
    <col min="1" max="1" width="3.26953125" style="2" customWidth="1"/>
    <col min="2" max="2" width="20.26953125" style="2" customWidth="1"/>
    <col min="3" max="3" width="20.1796875" style="2" customWidth="1"/>
    <col min="4" max="4" width="9" style="2" customWidth="1"/>
    <col min="5" max="7" width="16.453125" style="2" bestFit="1" customWidth="1"/>
    <col min="8" max="8" width="14.453125" style="2" customWidth="1"/>
    <col min="9" max="9" width="14.26953125" style="2" customWidth="1"/>
    <col min="10" max="10" width="19.81640625" style="2" customWidth="1"/>
    <col min="11" max="11" width="8.81640625" style="2"/>
    <col min="12" max="12" width="17.81640625" style="2" bestFit="1" customWidth="1"/>
    <col min="13" max="13" width="23.453125" style="2" bestFit="1" customWidth="1"/>
    <col min="14" max="15" width="14" style="2" customWidth="1"/>
    <col min="16" max="17" width="16.81640625" style="2" customWidth="1"/>
    <col min="18" max="18" width="13.7265625" style="2" bestFit="1" customWidth="1"/>
    <col min="19" max="19" width="8.81640625" style="2"/>
    <col min="20" max="20" width="12.26953125" style="20" bestFit="1" customWidth="1"/>
    <col min="21" max="22" width="8.81640625" style="21"/>
    <col min="23" max="23" width="8.81640625" style="2"/>
    <col min="24" max="24" width="14.1796875" style="22" bestFit="1" customWidth="1"/>
    <col min="25" max="26" width="10.7265625" style="2" bestFit="1" customWidth="1"/>
    <col min="27" max="27" width="12" style="2" bestFit="1" customWidth="1"/>
    <col min="28" max="28" width="12.453125" style="2" bestFit="1" customWidth="1"/>
    <col min="29" max="29" width="10.7265625" style="2" bestFit="1" customWidth="1"/>
    <col min="30" max="30" width="11.453125" style="2" bestFit="1" customWidth="1"/>
    <col min="31" max="31" width="13.1796875" style="2" bestFit="1" customWidth="1"/>
    <col min="32" max="33" width="10.7265625" style="2" bestFit="1" customWidth="1"/>
    <col min="34" max="34" width="16.54296875" style="2" bestFit="1" customWidth="1"/>
    <col min="35" max="35" width="18.453125" style="2" bestFit="1" customWidth="1"/>
    <col min="36" max="37" width="15.81640625" style="2" bestFit="1" customWidth="1"/>
    <col min="38" max="38" width="14.26953125" style="2" bestFit="1" customWidth="1"/>
    <col min="39" max="39" width="10.7265625" style="2" bestFit="1" customWidth="1"/>
    <col min="40" max="40" width="9" style="2" bestFit="1" customWidth="1"/>
    <col min="41" max="41" width="12.453125" style="2" bestFit="1" customWidth="1"/>
    <col min="42" max="52" width="8.81640625" style="2"/>
    <col min="53" max="53" width="16.1796875" style="2" bestFit="1" customWidth="1"/>
    <col min="54" max="54" width="15" style="2" bestFit="1" customWidth="1"/>
    <col min="55" max="55" width="13.1796875" style="2" bestFit="1" customWidth="1"/>
    <col min="56" max="260" width="8.81640625" style="2"/>
    <col min="261" max="261" width="3.26953125" style="2" customWidth="1"/>
    <col min="262" max="262" width="20.26953125" style="2" customWidth="1"/>
    <col min="263" max="263" width="20.1796875" style="2" customWidth="1"/>
    <col min="264" max="264" width="12.1796875" style="2" customWidth="1"/>
    <col min="265" max="265" width="9.81640625" style="2" customWidth="1"/>
    <col min="266" max="266" width="9.7265625" style="2" customWidth="1"/>
    <col min="267" max="267" width="14.453125" style="2" customWidth="1"/>
    <col min="268" max="268" width="14.26953125" style="2" customWidth="1"/>
    <col min="269" max="269" width="19.81640625" style="2" customWidth="1"/>
    <col min="270" max="270" width="19" style="2" customWidth="1"/>
    <col min="271" max="271" width="8.81640625" style="2"/>
    <col min="272" max="272" width="11.453125" style="2" customWidth="1"/>
    <col min="273" max="273" width="17" style="2" customWidth="1"/>
    <col min="274" max="274" width="14" style="2" customWidth="1"/>
    <col min="275" max="275" width="19.81640625" style="2" customWidth="1"/>
    <col min="276" max="277" width="16.81640625" style="2" customWidth="1"/>
    <col min="278" max="279" width="8.81640625" style="2"/>
    <col min="280" max="280" width="12.26953125" style="2" bestFit="1" customWidth="1"/>
    <col min="281" max="516" width="8.81640625" style="2"/>
    <col min="517" max="517" width="3.26953125" style="2" customWidth="1"/>
    <col min="518" max="518" width="20.26953125" style="2" customWidth="1"/>
    <col min="519" max="519" width="20.1796875" style="2" customWidth="1"/>
    <col min="520" max="520" width="12.1796875" style="2" customWidth="1"/>
    <col min="521" max="521" width="9.81640625" style="2" customWidth="1"/>
    <col min="522" max="522" width="9.7265625" style="2" customWidth="1"/>
    <col min="523" max="523" width="14.453125" style="2" customWidth="1"/>
    <col min="524" max="524" width="14.26953125" style="2" customWidth="1"/>
    <col min="525" max="525" width="19.81640625" style="2" customWidth="1"/>
    <col min="526" max="526" width="19" style="2" customWidth="1"/>
    <col min="527" max="527" width="8.81640625" style="2"/>
    <col min="528" max="528" width="11.453125" style="2" customWidth="1"/>
    <col min="529" max="529" width="17" style="2" customWidth="1"/>
    <col min="530" max="530" width="14" style="2" customWidth="1"/>
    <col min="531" max="531" width="19.81640625" style="2" customWidth="1"/>
    <col min="532" max="533" width="16.81640625" style="2" customWidth="1"/>
    <col min="534" max="535" width="8.81640625" style="2"/>
    <col min="536" max="536" width="12.26953125" style="2" bestFit="1" customWidth="1"/>
    <col min="537" max="772" width="8.81640625" style="2"/>
    <col min="773" max="773" width="3.26953125" style="2" customWidth="1"/>
    <col min="774" max="774" width="20.26953125" style="2" customWidth="1"/>
    <col min="775" max="775" width="20.1796875" style="2" customWidth="1"/>
    <col min="776" max="776" width="12.1796875" style="2" customWidth="1"/>
    <col min="777" max="777" width="9.81640625" style="2" customWidth="1"/>
    <col min="778" max="778" width="9.7265625" style="2" customWidth="1"/>
    <col min="779" max="779" width="14.453125" style="2" customWidth="1"/>
    <col min="780" max="780" width="14.26953125" style="2" customWidth="1"/>
    <col min="781" max="781" width="19.81640625" style="2" customWidth="1"/>
    <col min="782" max="782" width="19" style="2" customWidth="1"/>
    <col min="783" max="783" width="8.81640625" style="2"/>
    <col min="784" max="784" width="11.453125" style="2" customWidth="1"/>
    <col min="785" max="785" width="17" style="2" customWidth="1"/>
    <col min="786" max="786" width="14" style="2" customWidth="1"/>
    <col min="787" max="787" width="19.81640625" style="2" customWidth="1"/>
    <col min="788" max="789" width="16.81640625" style="2" customWidth="1"/>
    <col min="790" max="791" width="8.81640625" style="2"/>
    <col min="792" max="792" width="12.26953125" style="2" bestFit="1" customWidth="1"/>
    <col min="793" max="1028" width="8.81640625" style="2"/>
    <col min="1029" max="1029" width="3.26953125" style="2" customWidth="1"/>
    <col min="1030" max="1030" width="20.26953125" style="2" customWidth="1"/>
    <col min="1031" max="1031" width="20.1796875" style="2" customWidth="1"/>
    <col min="1032" max="1032" width="12.1796875" style="2" customWidth="1"/>
    <col min="1033" max="1033" width="9.81640625" style="2" customWidth="1"/>
    <col min="1034" max="1034" width="9.7265625" style="2" customWidth="1"/>
    <col min="1035" max="1035" width="14.453125" style="2" customWidth="1"/>
    <col min="1036" max="1036" width="14.26953125" style="2" customWidth="1"/>
    <col min="1037" max="1037" width="19.81640625" style="2" customWidth="1"/>
    <col min="1038" max="1038" width="19" style="2" customWidth="1"/>
    <col min="1039" max="1039" width="8.81640625" style="2"/>
    <col min="1040" max="1040" width="11.453125" style="2" customWidth="1"/>
    <col min="1041" max="1041" width="17" style="2" customWidth="1"/>
    <col min="1042" max="1042" width="14" style="2" customWidth="1"/>
    <col min="1043" max="1043" width="19.81640625" style="2" customWidth="1"/>
    <col min="1044" max="1045" width="16.81640625" style="2" customWidth="1"/>
    <col min="1046" max="1047" width="8.81640625" style="2"/>
    <col min="1048" max="1048" width="12.26953125" style="2" bestFit="1" customWidth="1"/>
    <col min="1049" max="1284" width="8.81640625" style="2"/>
    <col min="1285" max="1285" width="3.26953125" style="2" customWidth="1"/>
    <col min="1286" max="1286" width="20.26953125" style="2" customWidth="1"/>
    <col min="1287" max="1287" width="20.1796875" style="2" customWidth="1"/>
    <col min="1288" max="1288" width="12.1796875" style="2" customWidth="1"/>
    <col min="1289" max="1289" width="9.81640625" style="2" customWidth="1"/>
    <col min="1290" max="1290" width="9.7265625" style="2" customWidth="1"/>
    <col min="1291" max="1291" width="14.453125" style="2" customWidth="1"/>
    <col min="1292" max="1292" width="14.26953125" style="2" customWidth="1"/>
    <col min="1293" max="1293" width="19.81640625" style="2" customWidth="1"/>
    <col min="1294" max="1294" width="19" style="2" customWidth="1"/>
    <col min="1295" max="1295" width="8.81640625" style="2"/>
    <col min="1296" max="1296" width="11.453125" style="2" customWidth="1"/>
    <col min="1297" max="1297" width="17" style="2" customWidth="1"/>
    <col min="1298" max="1298" width="14" style="2" customWidth="1"/>
    <col min="1299" max="1299" width="19.81640625" style="2" customWidth="1"/>
    <col min="1300" max="1301" width="16.81640625" style="2" customWidth="1"/>
    <col min="1302" max="1303" width="8.81640625" style="2"/>
    <col min="1304" max="1304" width="12.26953125" style="2" bestFit="1" customWidth="1"/>
    <col min="1305" max="1540" width="8.81640625" style="2"/>
    <col min="1541" max="1541" width="3.26953125" style="2" customWidth="1"/>
    <col min="1542" max="1542" width="20.26953125" style="2" customWidth="1"/>
    <col min="1543" max="1543" width="20.1796875" style="2" customWidth="1"/>
    <col min="1544" max="1544" width="12.1796875" style="2" customWidth="1"/>
    <col min="1545" max="1545" width="9.81640625" style="2" customWidth="1"/>
    <col min="1546" max="1546" width="9.7265625" style="2" customWidth="1"/>
    <col min="1547" max="1547" width="14.453125" style="2" customWidth="1"/>
    <col min="1548" max="1548" width="14.26953125" style="2" customWidth="1"/>
    <col min="1549" max="1549" width="19.81640625" style="2" customWidth="1"/>
    <col min="1550" max="1550" width="19" style="2" customWidth="1"/>
    <col min="1551" max="1551" width="8.81640625" style="2"/>
    <col min="1552" max="1552" width="11.453125" style="2" customWidth="1"/>
    <col min="1553" max="1553" width="17" style="2" customWidth="1"/>
    <col min="1554" max="1554" width="14" style="2" customWidth="1"/>
    <col min="1555" max="1555" width="19.81640625" style="2" customWidth="1"/>
    <col min="1556" max="1557" width="16.81640625" style="2" customWidth="1"/>
    <col min="1558" max="1559" width="8.81640625" style="2"/>
    <col min="1560" max="1560" width="12.26953125" style="2" bestFit="1" customWidth="1"/>
    <col min="1561" max="1796" width="8.81640625" style="2"/>
    <col min="1797" max="1797" width="3.26953125" style="2" customWidth="1"/>
    <col min="1798" max="1798" width="20.26953125" style="2" customWidth="1"/>
    <col min="1799" max="1799" width="20.1796875" style="2" customWidth="1"/>
    <col min="1800" max="1800" width="12.1796875" style="2" customWidth="1"/>
    <col min="1801" max="1801" width="9.81640625" style="2" customWidth="1"/>
    <col min="1802" max="1802" width="9.7265625" style="2" customWidth="1"/>
    <col min="1803" max="1803" width="14.453125" style="2" customWidth="1"/>
    <col min="1804" max="1804" width="14.26953125" style="2" customWidth="1"/>
    <col min="1805" max="1805" width="19.81640625" style="2" customWidth="1"/>
    <col min="1806" max="1806" width="19" style="2" customWidth="1"/>
    <col min="1807" max="1807" width="8.81640625" style="2"/>
    <col min="1808" max="1808" width="11.453125" style="2" customWidth="1"/>
    <col min="1809" max="1809" width="17" style="2" customWidth="1"/>
    <col min="1810" max="1810" width="14" style="2" customWidth="1"/>
    <col min="1811" max="1811" width="19.81640625" style="2" customWidth="1"/>
    <col min="1812" max="1813" width="16.81640625" style="2" customWidth="1"/>
    <col min="1814" max="1815" width="8.81640625" style="2"/>
    <col min="1816" max="1816" width="12.26953125" style="2" bestFit="1" customWidth="1"/>
    <col min="1817" max="2052" width="8.81640625" style="2"/>
    <col min="2053" max="2053" width="3.26953125" style="2" customWidth="1"/>
    <col min="2054" max="2054" width="20.26953125" style="2" customWidth="1"/>
    <col min="2055" max="2055" width="20.1796875" style="2" customWidth="1"/>
    <col min="2056" max="2056" width="12.1796875" style="2" customWidth="1"/>
    <col min="2057" max="2057" width="9.81640625" style="2" customWidth="1"/>
    <col min="2058" max="2058" width="9.7265625" style="2" customWidth="1"/>
    <col min="2059" max="2059" width="14.453125" style="2" customWidth="1"/>
    <col min="2060" max="2060" width="14.26953125" style="2" customWidth="1"/>
    <col min="2061" max="2061" width="19.81640625" style="2" customWidth="1"/>
    <col min="2062" max="2062" width="19" style="2" customWidth="1"/>
    <col min="2063" max="2063" width="8.81640625" style="2"/>
    <col min="2064" max="2064" width="11.453125" style="2" customWidth="1"/>
    <col min="2065" max="2065" width="17" style="2" customWidth="1"/>
    <col min="2066" max="2066" width="14" style="2" customWidth="1"/>
    <col min="2067" max="2067" width="19.81640625" style="2" customWidth="1"/>
    <col min="2068" max="2069" width="16.81640625" style="2" customWidth="1"/>
    <col min="2070" max="2071" width="8.81640625" style="2"/>
    <col min="2072" max="2072" width="12.26953125" style="2" bestFit="1" customWidth="1"/>
    <col min="2073" max="2308" width="8.81640625" style="2"/>
    <col min="2309" max="2309" width="3.26953125" style="2" customWidth="1"/>
    <col min="2310" max="2310" width="20.26953125" style="2" customWidth="1"/>
    <col min="2311" max="2311" width="20.1796875" style="2" customWidth="1"/>
    <col min="2312" max="2312" width="12.1796875" style="2" customWidth="1"/>
    <col min="2313" max="2313" width="9.81640625" style="2" customWidth="1"/>
    <col min="2314" max="2314" width="9.7265625" style="2" customWidth="1"/>
    <col min="2315" max="2315" width="14.453125" style="2" customWidth="1"/>
    <col min="2316" max="2316" width="14.26953125" style="2" customWidth="1"/>
    <col min="2317" max="2317" width="19.81640625" style="2" customWidth="1"/>
    <col min="2318" max="2318" width="19" style="2" customWidth="1"/>
    <col min="2319" max="2319" width="8.81640625" style="2"/>
    <col min="2320" max="2320" width="11.453125" style="2" customWidth="1"/>
    <col min="2321" max="2321" width="17" style="2" customWidth="1"/>
    <col min="2322" max="2322" width="14" style="2" customWidth="1"/>
    <col min="2323" max="2323" width="19.81640625" style="2" customWidth="1"/>
    <col min="2324" max="2325" width="16.81640625" style="2" customWidth="1"/>
    <col min="2326" max="2327" width="8.81640625" style="2"/>
    <col min="2328" max="2328" width="12.26953125" style="2" bestFit="1" customWidth="1"/>
    <col min="2329" max="2564" width="8.81640625" style="2"/>
    <col min="2565" max="2565" width="3.26953125" style="2" customWidth="1"/>
    <col min="2566" max="2566" width="20.26953125" style="2" customWidth="1"/>
    <col min="2567" max="2567" width="20.1796875" style="2" customWidth="1"/>
    <col min="2568" max="2568" width="12.1796875" style="2" customWidth="1"/>
    <col min="2569" max="2569" width="9.81640625" style="2" customWidth="1"/>
    <col min="2570" max="2570" width="9.7265625" style="2" customWidth="1"/>
    <col min="2571" max="2571" width="14.453125" style="2" customWidth="1"/>
    <col min="2572" max="2572" width="14.26953125" style="2" customWidth="1"/>
    <col min="2573" max="2573" width="19.81640625" style="2" customWidth="1"/>
    <col min="2574" max="2574" width="19" style="2" customWidth="1"/>
    <col min="2575" max="2575" width="8.81640625" style="2"/>
    <col min="2576" max="2576" width="11.453125" style="2" customWidth="1"/>
    <col min="2577" max="2577" width="17" style="2" customWidth="1"/>
    <col min="2578" max="2578" width="14" style="2" customWidth="1"/>
    <col min="2579" max="2579" width="19.81640625" style="2" customWidth="1"/>
    <col min="2580" max="2581" width="16.81640625" style="2" customWidth="1"/>
    <col min="2582" max="2583" width="8.81640625" style="2"/>
    <col min="2584" max="2584" width="12.26953125" style="2" bestFit="1" customWidth="1"/>
    <col min="2585" max="2820" width="8.81640625" style="2"/>
    <col min="2821" max="2821" width="3.26953125" style="2" customWidth="1"/>
    <col min="2822" max="2822" width="20.26953125" style="2" customWidth="1"/>
    <col min="2823" max="2823" width="20.1796875" style="2" customWidth="1"/>
    <col min="2824" max="2824" width="12.1796875" style="2" customWidth="1"/>
    <col min="2825" max="2825" width="9.81640625" style="2" customWidth="1"/>
    <col min="2826" max="2826" width="9.7265625" style="2" customWidth="1"/>
    <col min="2827" max="2827" width="14.453125" style="2" customWidth="1"/>
    <col min="2828" max="2828" width="14.26953125" style="2" customWidth="1"/>
    <col min="2829" max="2829" width="19.81640625" style="2" customWidth="1"/>
    <col min="2830" max="2830" width="19" style="2" customWidth="1"/>
    <col min="2831" max="2831" width="8.81640625" style="2"/>
    <col min="2832" max="2832" width="11.453125" style="2" customWidth="1"/>
    <col min="2833" max="2833" width="17" style="2" customWidth="1"/>
    <col min="2834" max="2834" width="14" style="2" customWidth="1"/>
    <col min="2835" max="2835" width="19.81640625" style="2" customWidth="1"/>
    <col min="2836" max="2837" width="16.81640625" style="2" customWidth="1"/>
    <col min="2838" max="2839" width="8.81640625" style="2"/>
    <col min="2840" max="2840" width="12.26953125" style="2" bestFit="1" customWidth="1"/>
    <col min="2841" max="3076" width="8.81640625" style="2"/>
    <col min="3077" max="3077" width="3.26953125" style="2" customWidth="1"/>
    <col min="3078" max="3078" width="20.26953125" style="2" customWidth="1"/>
    <col min="3079" max="3079" width="20.1796875" style="2" customWidth="1"/>
    <col min="3080" max="3080" width="12.1796875" style="2" customWidth="1"/>
    <col min="3081" max="3081" width="9.81640625" style="2" customWidth="1"/>
    <col min="3082" max="3082" width="9.7265625" style="2" customWidth="1"/>
    <col min="3083" max="3083" width="14.453125" style="2" customWidth="1"/>
    <col min="3084" max="3084" width="14.26953125" style="2" customWidth="1"/>
    <col min="3085" max="3085" width="19.81640625" style="2" customWidth="1"/>
    <col min="3086" max="3086" width="19" style="2" customWidth="1"/>
    <col min="3087" max="3087" width="8.81640625" style="2"/>
    <col min="3088" max="3088" width="11.453125" style="2" customWidth="1"/>
    <col min="3089" max="3089" width="17" style="2" customWidth="1"/>
    <col min="3090" max="3090" width="14" style="2" customWidth="1"/>
    <col min="3091" max="3091" width="19.81640625" style="2" customWidth="1"/>
    <col min="3092" max="3093" width="16.81640625" style="2" customWidth="1"/>
    <col min="3094" max="3095" width="8.81640625" style="2"/>
    <col min="3096" max="3096" width="12.26953125" style="2" bestFit="1" customWidth="1"/>
    <col min="3097" max="3332" width="8.81640625" style="2"/>
    <col min="3333" max="3333" width="3.26953125" style="2" customWidth="1"/>
    <col min="3334" max="3334" width="20.26953125" style="2" customWidth="1"/>
    <col min="3335" max="3335" width="20.1796875" style="2" customWidth="1"/>
    <col min="3336" max="3336" width="12.1796875" style="2" customWidth="1"/>
    <col min="3337" max="3337" width="9.81640625" style="2" customWidth="1"/>
    <col min="3338" max="3338" width="9.7265625" style="2" customWidth="1"/>
    <col min="3339" max="3339" width="14.453125" style="2" customWidth="1"/>
    <col min="3340" max="3340" width="14.26953125" style="2" customWidth="1"/>
    <col min="3341" max="3341" width="19.81640625" style="2" customWidth="1"/>
    <col min="3342" max="3342" width="19" style="2" customWidth="1"/>
    <col min="3343" max="3343" width="8.81640625" style="2"/>
    <col min="3344" max="3344" width="11.453125" style="2" customWidth="1"/>
    <col min="3345" max="3345" width="17" style="2" customWidth="1"/>
    <col min="3346" max="3346" width="14" style="2" customWidth="1"/>
    <col min="3347" max="3347" width="19.81640625" style="2" customWidth="1"/>
    <col min="3348" max="3349" width="16.81640625" style="2" customWidth="1"/>
    <col min="3350" max="3351" width="8.81640625" style="2"/>
    <col min="3352" max="3352" width="12.26953125" style="2" bestFit="1" customWidth="1"/>
    <col min="3353" max="3588" width="8.81640625" style="2"/>
    <col min="3589" max="3589" width="3.26953125" style="2" customWidth="1"/>
    <col min="3590" max="3590" width="20.26953125" style="2" customWidth="1"/>
    <col min="3591" max="3591" width="20.1796875" style="2" customWidth="1"/>
    <col min="3592" max="3592" width="12.1796875" style="2" customWidth="1"/>
    <col min="3593" max="3593" width="9.81640625" style="2" customWidth="1"/>
    <col min="3594" max="3594" width="9.7265625" style="2" customWidth="1"/>
    <col min="3595" max="3595" width="14.453125" style="2" customWidth="1"/>
    <col min="3596" max="3596" width="14.26953125" style="2" customWidth="1"/>
    <col min="3597" max="3597" width="19.81640625" style="2" customWidth="1"/>
    <col min="3598" max="3598" width="19" style="2" customWidth="1"/>
    <col min="3599" max="3599" width="8.81640625" style="2"/>
    <col min="3600" max="3600" width="11.453125" style="2" customWidth="1"/>
    <col min="3601" max="3601" width="17" style="2" customWidth="1"/>
    <col min="3602" max="3602" width="14" style="2" customWidth="1"/>
    <col min="3603" max="3603" width="19.81640625" style="2" customWidth="1"/>
    <col min="3604" max="3605" width="16.81640625" style="2" customWidth="1"/>
    <col min="3606" max="3607" width="8.81640625" style="2"/>
    <col min="3608" max="3608" width="12.26953125" style="2" bestFit="1" customWidth="1"/>
    <col min="3609" max="3844" width="8.81640625" style="2"/>
    <col min="3845" max="3845" width="3.26953125" style="2" customWidth="1"/>
    <col min="3846" max="3846" width="20.26953125" style="2" customWidth="1"/>
    <col min="3847" max="3847" width="20.1796875" style="2" customWidth="1"/>
    <col min="3848" max="3848" width="12.1796875" style="2" customWidth="1"/>
    <col min="3849" max="3849" width="9.81640625" style="2" customWidth="1"/>
    <col min="3850" max="3850" width="9.7265625" style="2" customWidth="1"/>
    <col min="3851" max="3851" width="14.453125" style="2" customWidth="1"/>
    <col min="3852" max="3852" width="14.26953125" style="2" customWidth="1"/>
    <col min="3853" max="3853" width="19.81640625" style="2" customWidth="1"/>
    <col min="3854" max="3854" width="19" style="2" customWidth="1"/>
    <col min="3855" max="3855" width="8.81640625" style="2"/>
    <col min="3856" max="3856" width="11.453125" style="2" customWidth="1"/>
    <col min="3857" max="3857" width="17" style="2" customWidth="1"/>
    <col min="3858" max="3858" width="14" style="2" customWidth="1"/>
    <col min="3859" max="3859" width="19.81640625" style="2" customWidth="1"/>
    <col min="3860" max="3861" width="16.81640625" style="2" customWidth="1"/>
    <col min="3862" max="3863" width="8.81640625" style="2"/>
    <col min="3864" max="3864" width="12.26953125" style="2" bestFit="1" customWidth="1"/>
    <col min="3865" max="4100" width="8.81640625" style="2"/>
    <col min="4101" max="4101" width="3.26953125" style="2" customWidth="1"/>
    <col min="4102" max="4102" width="20.26953125" style="2" customWidth="1"/>
    <col min="4103" max="4103" width="20.1796875" style="2" customWidth="1"/>
    <col min="4104" max="4104" width="12.1796875" style="2" customWidth="1"/>
    <col min="4105" max="4105" width="9.81640625" style="2" customWidth="1"/>
    <col min="4106" max="4106" width="9.7265625" style="2" customWidth="1"/>
    <col min="4107" max="4107" width="14.453125" style="2" customWidth="1"/>
    <col min="4108" max="4108" width="14.26953125" style="2" customWidth="1"/>
    <col min="4109" max="4109" width="19.81640625" style="2" customWidth="1"/>
    <col min="4110" max="4110" width="19" style="2" customWidth="1"/>
    <col min="4111" max="4111" width="8.81640625" style="2"/>
    <col min="4112" max="4112" width="11.453125" style="2" customWidth="1"/>
    <col min="4113" max="4113" width="17" style="2" customWidth="1"/>
    <col min="4114" max="4114" width="14" style="2" customWidth="1"/>
    <col min="4115" max="4115" width="19.81640625" style="2" customWidth="1"/>
    <col min="4116" max="4117" width="16.81640625" style="2" customWidth="1"/>
    <col min="4118" max="4119" width="8.81640625" style="2"/>
    <col min="4120" max="4120" width="12.26953125" style="2" bestFit="1" customWidth="1"/>
    <col min="4121" max="4356" width="8.81640625" style="2"/>
    <col min="4357" max="4357" width="3.26953125" style="2" customWidth="1"/>
    <col min="4358" max="4358" width="20.26953125" style="2" customWidth="1"/>
    <col min="4359" max="4359" width="20.1796875" style="2" customWidth="1"/>
    <col min="4360" max="4360" width="12.1796875" style="2" customWidth="1"/>
    <col min="4361" max="4361" width="9.81640625" style="2" customWidth="1"/>
    <col min="4362" max="4362" width="9.7265625" style="2" customWidth="1"/>
    <col min="4363" max="4363" width="14.453125" style="2" customWidth="1"/>
    <col min="4364" max="4364" width="14.26953125" style="2" customWidth="1"/>
    <col min="4365" max="4365" width="19.81640625" style="2" customWidth="1"/>
    <col min="4366" max="4366" width="19" style="2" customWidth="1"/>
    <col min="4367" max="4367" width="8.81640625" style="2"/>
    <col min="4368" max="4368" width="11.453125" style="2" customWidth="1"/>
    <col min="4369" max="4369" width="17" style="2" customWidth="1"/>
    <col min="4370" max="4370" width="14" style="2" customWidth="1"/>
    <col min="4371" max="4371" width="19.81640625" style="2" customWidth="1"/>
    <col min="4372" max="4373" width="16.81640625" style="2" customWidth="1"/>
    <col min="4374" max="4375" width="8.81640625" style="2"/>
    <col min="4376" max="4376" width="12.26953125" style="2" bestFit="1" customWidth="1"/>
    <col min="4377" max="4612" width="8.81640625" style="2"/>
    <col min="4613" max="4613" width="3.26953125" style="2" customWidth="1"/>
    <col min="4614" max="4614" width="20.26953125" style="2" customWidth="1"/>
    <col min="4615" max="4615" width="20.1796875" style="2" customWidth="1"/>
    <col min="4616" max="4616" width="12.1796875" style="2" customWidth="1"/>
    <col min="4617" max="4617" width="9.81640625" style="2" customWidth="1"/>
    <col min="4618" max="4618" width="9.7265625" style="2" customWidth="1"/>
    <col min="4619" max="4619" width="14.453125" style="2" customWidth="1"/>
    <col min="4620" max="4620" width="14.26953125" style="2" customWidth="1"/>
    <col min="4621" max="4621" width="19.81640625" style="2" customWidth="1"/>
    <col min="4622" max="4622" width="19" style="2" customWidth="1"/>
    <col min="4623" max="4623" width="8.81640625" style="2"/>
    <col min="4624" max="4624" width="11.453125" style="2" customWidth="1"/>
    <col min="4625" max="4625" width="17" style="2" customWidth="1"/>
    <col min="4626" max="4626" width="14" style="2" customWidth="1"/>
    <col min="4627" max="4627" width="19.81640625" style="2" customWidth="1"/>
    <col min="4628" max="4629" width="16.81640625" style="2" customWidth="1"/>
    <col min="4630" max="4631" width="8.81640625" style="2"/>
    <col min="4632" max="4632" width="12.26953125" style="2" bestFit="1" customWidth="1"/>
    <col min="4633" max="4868" width="8.81640625" style="2"/>
    <col min="4869" max="4869" width="3.26953125" style="2" customWidth="1"/>
    <col min="4870" max="4870" width="20.26953125" style="2" customWidth="1"/>
    <col min="4871" max="4871" width="20.1796875" style="2" customWidth="1"/>
    <col min="4872" max="4872" width="12.1796875" style="2" customWidth="1"/>
    <col min="4873" max="4873" width="9.81640625" style="2" customWidth="1"/>
    <col min="4874" max="4874" width="9.7265625" style="2" customWidth="1"/>
    <col min="4875" max="4875" width="14.453125" style="2" customWidth="1"/>
    <col min="4876" max="4876" width="14.26953125" style="2" customWidth="1"/>
    <col min="4877" max="4877" width="19.81640625" style="2" customWidth="1"/>
    <col min="4878" max="4878" width="19" style="2" customWidth="1"/>
    <col min="4879" max="4879" width="8.81640625" style="2"/>
    <col min="4880" max="4880" width="11.453125" style="2" customWidth="1"/>
    <col min="4881" max="4881" width="17" style="2" customWidth="1"/>
    <col min="4882" max="4882" width="14" style="2" customWidth="1"/>
    <col min="4883" max="4883" width="19.81640625" style="2" customWidth="1"/>
    <col min="4884" max="4885" width="16.81640625" style="2" customWidth="1"/>
    <col min="4886" max="4887" width="8.81640625" style="2"/>
    <col min="4888" max="4888" width="12.26953125" style="2" bestFit="1" customWidth="1"/>
    <col min="4889" max="5124" width="8.81640625" style="2"/>
    <col min="5125" max="5125" width="3.26953125" style="2" customWidth="1"/>
    <col min="5126" max="5126" width="20.26953125" style="2" customWidth="1"/>
    <col min="5127" max="5127" width="20.1796875" style="2" customWidth="1"/>
    <col min="5128" max="5128" width="12.1796875" style="2" customWidth="1"/>
    <col min="5129" max="5129" width="9.81640625" style="2" customWidth="1"/>
    <col min="5130" max="5130" width="9.7265625" style="2" customWidth="1"/>
    <col min="5131" max="5131" width="14.453125" style="2" customWidth="1"/>
    <col min="5132" max="5132" width="14.26953125" style="2" customWidth="1"/>
    <col min="5133" max="5133" width="19.81640625" style="2" customWidth="1"/>
    <col min="5134" max="5134" width="19" style="2" customWidth="1"/>
    <col min="5135" max="5135" width="8.81640625" style="2"/>
    <col min="5136" max="5136" width="11.453125" style="2" customWidth="1"/>
    <col min="5137" max="5137" width="17" style="2" customWidth="1"/>
    <col min="5138" max="5138" width="14" style="2" customWidth="1"/>
    <col min="5139" max="5139" width="19.81640625" style="2" customWidth="1"/>
    <col min="5140" max="5141" width="16.81640625" style="2" customWidth="1"/>
    <col min="5142" max="5143" width="8.81640625" style="2"/>
    <col min="5144" max="5144" width="12.26953125" style="2" bestFit="1" customWidth="1"/>
    <col min="5145" max="5380" width="8.81640625" style="2"/>
    <col min="5381" max="5381" width="3.26953125" style="2" customWidth="1"/>
    <col min="5382" max="5382" width="20.26953125" style="2" customWidth="1"/>
    <col min="5383" max="5383" width="20.1796875" style="2" customWidth="1"/>
    <col min="5384" max="5384" width="12.1796875" style="2" customWidth="1"/>
    <col min="5385" max="5385" width="9.81640625" style="2" customWidth="1"/>
    <col min="5386" max="5386" width="9.7265625" style="2" customWidth="1"/>
    <col min="5387" max="5387" width="14.453125" style="2" customWidth="1"/>
    <col min="5388" max="5388" width="14.26953125" style="2" customWidth="1"/>
    <col min="5389" max="5389" width="19.81640625" style="2" customWidth="1"/>
    <col min="5390" max="5390" width="19" style="2" customWidth="1"/>
    <col min="5391" max="5391" width="8.81640625" style="2"/>
    <col min="5392" max="5392" width="11.453125" style="2" customWidth="1"/>
    <col min="5393" max="5393" width="17" style="2" customWidth="1"/>
    <col min="5394" max="5394" width="14" style="2" customWidth="1"/>
    <col min="5395" max="5395" width="19.81640625" style="2" customWidth="1"/>
    <col min="5396" max="5397" width="16.81640625" style="2" customWidth="1"/>
    <col min="5398" max="5399" width="8.81640625" style="2"/>
    <col min="5400" max="5400" width="12.26953125" style="2" bestFit="1" customWidth="1"/>
    <col min="5401" max="5636" width="8.81640625" style="2"/>
    <col min="5637" max="5637" width="3.26953125" style="2" customWidth="1"/>
    <col min="5638" max="5638" width="20.26953125" style="2" customWidth="1"/>
    <col min="5639" max="5639" width="20.1796875" style="2" customWidth="1"/>
    <col min="5640" max="5640" width="12.1796875" style="2" customWidth="1"/>
    <col min="5641" max="5641" width="9.81640625" style="2" customWidth="1"/>
    <col min="5642" max="5642" width="9.7265625" style="2" customWidth="1"/>
    <col min="5643" max="5643" width="14.453125" style="2" customWidth="1"/>
    <col min="5644" max="5644" width="14.26953125" style="2" customWidth="1"/>
    <col min="5645" max="5645" width="19.81640625" style="2" customWidth="1"/>
    <col min="5646" max="5646" width="19" style="2" customWidth="1"/>
    <col min="5647" max="5647" width="8.81640625" style="2"/>
    <col min="5648" max="5648" width="11.453125" style="2" customWidth="1"/>
    <col min="5649" max="5649" width="17" style="2" customWidth="1"/>
    <col min="5650" max="5650" width="14" style="2" customWidth="1"/>
    <col min="5651" max="5651" width="19.81640625" style="2" customWidth="1"/>
    <col min="5652" max="5653" width="16.81640625" style="2" customWidth="1"/>
    <col min="5654" max="5655" width="8.81640625" style="2"/>
    <col min="5656" max="5656" width="12.26953125" style="2" bestFit="1" customWidth="1"/>
    <col min="5657" max="5892" width="8.81640625" style="2"/>
    <col min="5893" max="5893" width="3.26953125" style="2" customWidth="1"/>
    <col min="5894" max="5894" width="20.26953125" style="2" customWidth="1"/>
    <col min="5895" max="5895" width="20.1796875" style="2" customWidth="1"/>
    <col min="5896" max="5896" width="12.1796875" style="2" customWidth="1"/>
    <col min="5897" max="5897" width="9.81640625" style="2" customWidth="1"/>
    <col min="5898" max="5898" width="9.7265625" style="2" customWidth="1"/>
    <col min="5899" max="5899" width="14.453125" style="2" customWidth="1"/>
    <col min="5900" max="5900" width="14.26953125" style="2" customWidth="1"/>
    <col min="5901" max="5901" width="19.81640625" style="2" customWidth="1"/>
    <col min="5902" max="5902" width="19" style="2" customWidth="1"/>
    <col min="5903" max="5903" width="8.81640625" style="2"/>
    <col min="5904" max="5904" width="11.453125" style="2" customWidth="1"/>
    <col min="5905" max="5905" width="17" style="2" customWidth="1"/>
    <col min="5906" max="5906" width="14" style="2" customWidth="1"/>
    <col min="5907" max="5907" width="19.81640625" style="2" customWidth="1"/>
    <col min="5908" max="5909" width="16.81640625" style="2" customWidth="1"/>
    <col min="5910" max="5911" width="8.81640625" style="2"/>
    <col min="5912" max="5912" width="12.26953125" style="2" bestFit="1" customWidth="1"/>
    <col min="5913" max="6148" width="8.81640625" style="2"/>
    <col min="6149" max="6149" width="3.26953125" style="2" customWidth="1"/>
    <col min="6150" max="6150" width="20.26953125" style="2" customWidth="1"/>
    <col min="6151" max="6151" width="20.1796875" style="2" customWidth="1"/>
    <col min="6152" max="6152" width="12.1796875" style="2" customWidth="1"/>
    <col min="6153" max="6153" width="9.81640625" style="2" customWidth="1"/>
    <col min="6154" max="6154" width="9.7265625" style="2" customWidth="1"/>
    <col min="6155" max="6155" width="14.453125" style="2" customWidth="1"/>
    <col min="6156" max="6156" width="14.26953125" style="2" customWidth="1"/>
    <col min="6157" max="6157" width="19.81640625" style="2" customWidth="1"/>
    <col min="6158" max="6158" width="19" style="2" customWidth="1"/>
    <col min="6159" max="6159" width="8.81640625" style="2"/>
    <col min="6160" max="6160" width="11.453125" style="2" customWidth="1"/>
    <col min="6161" max="6161" width="17" style="2" customWidth="1"/>
    <col min="6162" max="6162" width="14" style="2" customWidth="1"/>
    <col min="6163" max="6163" width="19.81640625" style="2" customWidth="1"/>
    <col min="6164" max="6165" width="16.81640625" style="2" customWidth="1"/>
    <col min="6166" max="6167" width="8.81640625" style="2"/>
    <col min="6168" max="6168" width="12.26953125" style="2" bestFit="1" customWidth="1"/>
    <col min="6169" max="6404" width="8.81640625" style="2"/>
    <col min="6405" max="6405" width="3.26953125" style="2" customWidth="1"/>
    <col min="6406" max="6406" width="20.26953125" style="2" customWidth="1"/>
    <col min="6407" max="6407" width="20.1796875" style="2" customWidth="1"/>
    <col min="6408" max="6408" width="12.1796875" style="2" customWidth="1"/>
    <col min="6409" max="6409" width="9.81640625" style="2" customWidth="1"/>
    <col min="6410" max="6410" width="9.7265625" style="2" customWidth="1"/>
    <col min="6411" max="6411" width="14.453125" style="2" customWidth="1"/>
    <col min="6412" max="6412" width="14.26953125" style="2" customWidth="1"/>
    <col min="6413" max="6413" width="19.81640625" style="2" customWidth="1"/>
    <col min="6414" max="6414" width="19" style="2" customWidth="1"/>
    <col min="6415" max="6415" width="8.81640625" style="2"/>
    <col min="6416" max="6416" width="11.453125" style="2" customWidth="1"/>
    <col min="6417" max="6417" width="17" style="2" customWidth="1"/>
    <col min="6418" max="6418" width="14" style="2" customWidth="1"/>
    <col min="6419" max="6419" width="19.81640625" style="2" customWidth="1"/>
    <col min="6420" max="6421" width="16.81640625" style="2" customWidth="1"/>
    <col min="6422" max="6423" width="8.81640625" style="2"/>
    <col min="6424" max="6424" width="12.26953125" style="2" bestFit="1" customWidth="1"/>
    <col min="6425" max="6660" width="8.81640625" style="2"/>
    <col min="6661" max="6661" width="3.26953125" style="2" customWidth="1"/>
    <col min="6662" max="6662" width="20.26953125" style="2" customWidth="1"/>
    <col min="6663" max="6663" width="20.1796875" style="2" customWidth="1"/>
    <col min="6664" max="6664" width="12.1796875" style="2" customWidth="1"/>
    <col min="6665" max="6665" width="9.81640625" style="2" customWidth="1"/>
    <col min="6666" max="6666" width="9.7265625" style="2" customWidth="1"/>
    <col min="6667" max="6667" width="14.453125" style="2" customWidth="1"/>
    <col min="6668" max="6668" width="14.26953125" style="2" customWidth="1"/>
    <col min="6669" max="6669" width="19.81640625" style="2" customWidth="1"/>
    <col min="6670" max="6670" width="19" style="2" customWidth="1"/>
    <col min="6671" max="6671" width="8.81640625" style="2"/>
    <col min="6672" max="6672" width="11.453125" style="2" customWidth="1"/>
    <col min="6673" max="6673" width="17" style="2" customWidth="1"/>
    <col min="6674" max="6674" width="14" style="2" customWidth="1"/>
    <col min="6675" max="6675" width="19.81640625" style="2" customWidth="1"/>
    <col min="6676" max="6677" width="16.81640625" style="2" customWidth="1"/>
    <col min="6678" max="6679" width="8.81640625" style="2"/>
    <col min="6680" max="6680" width="12.26953125" style="2" bestFit="1" customWidth="1"/>
    <col min="6681" max="6916" width="8.81640625" style="2"/>
    <col min="6917" max="6917" width="3.26953125" style="2" customWidth="1"/>
    <col min="6918" max="6918" width="20.26953125" style="2" customWidth="1"/>
    <col min="6919" max="6919" width="20.1796875" style="2" customWidth="1"/>
    <col min="6920" max="6920" width="12.1796875" style="2" customWidth="1"/>
    <col min="6921" max="6921" width="9.81640625" style="2" customWidth="1"/>
    <col min="6922" max="6922" width="9.7265625" style="2" customWidth="1"/>
    <col min="6923" max="6923" width="14.453125" style="2" customWidth="1"/>
    <col min="6924" max="6924" width="14.26953125" style="2" customWidth="1"/>
    <col min="6925" max="6925" width="19.81640625" style="2" customWidth="1"/>
    <col min="6926" max="6926" width="19" style="2" customWidth="1"/>
    <col min="6927" max="6927" width="8.81640625" style="2"/>
    <col min="6928" max="6928" width="11.453125" style="2" customWidth="1"/>
    <col min="6929" max="6929" width="17" style="2" customWidth="1"/>
    <col min="6930" max="6930" width="14" style="2" customWidth="1"/>
    <col min="6931" max="6931" width="19.81640625" style="2" customWidth="1"/>
    <col min="6932" max="6933" width="16.81640625" style="2" customWidth="1"/>
    <col min="6934" max="6935" width="8.81640625" style="2"/>
    <col min="6936" max="6936" width="12.26953125" style="2" bestFit="1" customWidth="1"/>
    <col min="6937" max="7172" width="8.81640625" style="2"/>
    <col min="7173" max="7173" width="3.26953125" style="2" customWidth="1"/>
    <col min="7174" max="7174" width="20.26953125" style="2" customWidth="1"/>
    <col min="7175" max="7175" width="20.1796875" style="2" customWidth="1"/>
    <col min="7176" max="7176" width="12.1796875" style="2" customWidth="1"/>
    <col min="7177" max="7177" width="9.81640625" style="2" customWidth="1"/>
    <col min="7178" max="7178" width="9.7265625" style="2" customWidth="1"/>
    <col min="7179" max="7179" width="14.453125" style="2" customWidth="1"/>
    <col min="7180" max="7180" width="14.26953125" style="2" customWidth="1"/>
    <col min="7181" max="7181" width="19.81640625" style="2" customWidth="1"/>
    <col min="7182" max="7182" width="19" style="2" customWidth="1"/>
    <col min="7183" max="7183" width="8.81640625" style="2"/>
    <col min="7184" max="7184" width="11.453125" style="2" customWidth="1"/>
    <col min="7185" max="7185" width="17" style="2" customWidth="1"/>
    <col min="7186" max="7186" width="14" style="2" customWidth="1"/>
    <col min="7187" max="7187" width="19.81640625" style="2" customWidth="1"/>
    <col min="7188" max="7189" width="16.81640625" style="2" customWidth="1"/>
    <col min="7190" max="7191" width="8.81640625" style="2"/>
    <col min="7192" max="7192" width="12.26953125" style="2" bestFit="1" customWidth="1"/>
    <col min="7193" max="7428" width="8.81640625" style="2"/>
    <col min="7429" max="7429" width="3.26953125" style="2" customWidth="1"/>
    <col min="7430" max="7430" width="20.26953125" style="2" customWidth="1"/>
    <col min="7431" max="7431" width="20.1796875" style="2" customWidth="1"/>
    <col min="7432" max="7432" width="12.1796875" style="2" customWidth="1"/>
    <col min="7433" max="7433" width="9.81640625" style="2" customWidth="1"/>
    <col min="7434" max="7434" width="9.7265625" style="2" customWidth="1"/>
    <col min="7435" max="7435" width="14.453125" style="2" customWidth="1"/>
    <col min="7436" max="7436" width="14.26953125" style="2" customWidth="1"/>
    <col min="7437" max="7437" width="19.81640625" style="2" customWidth="1"/>
    <col min="7438" max="7438" width="19" style="2" customWidth="1"/>
    <col min="7439" max="7439" width="8.81640625" style="2"/>
    <col min="7440" max="7440" width="11.453125" style="2" customWidth="1"/>
    <col min="7441" max="7441" width="17" style="2" customWidth="1"/>
    <col min="7442" max="7442" width="14" style="2" customWidth="1"/>
    <col min="7443" max="7443" width="19.81640625" style="2" customWidth="1"/>
    <col min="7444" max="7445" width="16.81640625" style="2" customWidth="1"/>
    <col min="7446" max="7447" width="8.81640625" style="2"/>
    <col min="7448" max="7448" width="12.26953125" style="2" bestFit="1" customWidth="1"/>
    <col min="7449" max="7684" width="8.81640625" style="2"/>
    <col min="7685" max="7685" width="3.26953125" style="2" customWidth="1"/>
    <col min="7686" max="7686" width="20.26953125" style="2" customWidth="1"/>
    <col min="7687" max="7687" width="20.1796875" style="2" customWidth="1"/>
    <col min="7688" max="7688" width="12.1796875" style="2" customWidth="1"/>
    <col min="7689" max="7689" width="9.81640625" style="2" customWidth="1"/>
    <col min="7690" max="7690" width="9.7265625" style="2" customWidth="1"/>
    <col min="7691" max="7691" width="14.453125" style="2" customWidth="1"/>
    <col min="7692" max="7692" width="14.26953125" style="2" customWidth="1"/>
    <col min="7693" max="7693" width="19.81640625" style="2" customWidth="1"/>
    <col min="7694" max="7694" width="19" style="2" customWidth="1"/>
    <col min="7695" max="7695" width="8.81640625" style="2"/>
    <col min="7696" max="7696" width="11.453125" style="2" customWidth="1"/>
    <col min="7697" max="7697" width="17" style="2" customWidth="1"/>
    <col min="7698" max="7698" width="14" style="2" customWidth="1"/>
    <col min="7699" max="7699" width="19.81640625" style="2" customWidth="1"/>
    <col min="7700" max="7701" width="16.81640625" style="2" customWidth="1"/>
    <col min="7702" max="7703" width="8.81640625" style="2"/>
    <col min="7704" max="7704" width="12.26953125" style="2" bestFit="1" customWidth="1"/>
    <col min="7705" max="7940" width="8.81640625" style="2"/>
    <col min="7941" max="7941" width="3.26953125" style="2" customWidth="1"/>
    <col min="7942" max="7942" width="20.26953125" style="2" customWidth="1"/>
    <col min="7943" max="7943" width="20.1796875" style="2" customWidth="1"/>
    <col min="7944" max="7944" width="12.1796875" style="2" customWidth="1"/>
    <col min="7945" max="7945" width="9.81640625" style="2" customWidth="1"/>
    <col min="7946" max="7946" width="9.7265625" style="2" customWidth="1"/>
    <col min="7947" max="7947" width="14.453125" style="2" customWidth="1"/>
    <col min="7948" max="7948" width="14.26953125" style="2" customWidth="1"/>
    <col min="7949" max="7949" width="19.81640625" style="2" customWidth="1"/>
    <col min="7950" max="7950" width="19" style="2" customWidth="1"/>
    <col min="7951" max="7951" width="8.81640625" style="2"/>
    <col min="7952" max="7952" width="11.453125" style="2" customWidth="1"/>
    <col min="7953" max="7953" width="17" style="2" customWidth="1"/>
    <col min="7954" max="7954" width="14" style="2" customWidth="1"/>
    <col min="7955" max="7955" width="19.81640625" style="2" customWidth="1"/>
    <col min="7956" max="7957" width="16.81640625" style="2" customWidth="1"/>
    <col min="7958" max="7959" width="8.81640625" style="2"/>
    <col min="7960" max="7960" width="12.26953125" style="2" bestFit="1" customWidth="1"/>
    <col min="7961" max="8196" width="8.81640625" style="2"/>
    <col min="8197" max="8197" width="3.26953125" style="2" customWidth="1"/>
    <col min="8198" max="8198" width="20.26953125" style="2" customWidth="1"/>
    <col min="8199" max="8199" width="20.1796875" style="2" customWidth="1"/>
    <col min="8200" max="8200" width="12.1796875" style="2" customWidth="1"/>
    <col min="8201" max="8201" width="9.81640625" style="2" customWidth="1"/>
    <col min="8202" max="8202" width="9.7265625" style="2" customWidth="1"/>
    <col min="8203" max="8203" width="14.453125" style="2" customWidth="1"/>
    <col min="8204" max="8204" width="14.26953125" style="2" customWidth="1"/>
    <col min="8205" max="8205" width="19.81640625" style="2" customWidth="1"/>
    <col min="8206" max="8206" width="19" style="2" customWidth="1"/>
    <col min="8207" max="8207" width="8.81640625" style="2"/>
    <col min="8208" max="8208" width="11.453125" style="2" customWidth="1"/>
    <col min="8209" max="8209" width="17" style="2" customWidth="1"/>
    <col min="8210" max="8210" width="14" style="2" customWidth="1"/>
    <col min="8211" max="8211" width="19.81640625" style="2" customWidth="1"/>
    <col min="8212" max="8213" width="16.81640625" style="2" customWidth="1"/>
    <col min="8214" max="8215" width="8.81640625" style="2"/>
    <col min="8216" max="8216" width="12.26953125" style="2" bestFit="1" customWidth="1"/>
    <col min="8217" max="8452" width="8.81640625" style="2"/>
    <col min="8453" max="8453" width="3.26953125" style="2" customWidth="1"/>
    <col min="8454" max="8454" width="20.26953125" style="2" customWidth="1"/>
    <col min="8455" max="8455" width="20.1796875" style="2" customWidth="1"/>
    <col min="8456" max="8456" width="12.1796875" style="2" customWidth="1"/>
    <col min="8457" max="8457" width="9.81640625" style="2" customWidth="1"/>
    <col min="8458" max="8458" width="9.7265625" style="2" customWidth="1"/>
    <col min="8459" max="8459" width="14.453125" style="2" customWidth="1"/>
    <col min="8460" max="8460" width="14.26953125" style="2" customWidth="1"/>
    <col min="8461" max="8461" width="19.81640625" style="2" customWidth="1"/>
    <col min="8462" max="8462" width="19" style="2" customWidth="1"/>
    <col min="8463" max="8463" width="8.81640625" style="2"/>
    <col min="8464" max="8464" width="11.453125" style="2" customWidth="1"/>
    <col min="8465" max="8465" width="17" style="2" customWidth="1"/>
    <col min="8466" max="8466" width="14" style="2" customWidth="1"/>
    <col min="8467" max="8467" width="19.81640625" style="2" customWidth="1"/>
    <col min="8468" max="8469" width="16.81640625" style="2" customWidth="1"/>
    <col min="8470" max="8471" width="8.81640625" style="2"/>
    <col min="8472" max="8472" width="12.26953125" style="2" bestFit="1" customWidth="1"/>
    <col min="8473" max="8708" width="8.81640625" style="2"/>
    <col min="8709" max="8709" width="3.26953125" style="2" customWidth="1"/>
    <col min="8710" max="8710" width="20.26953125" style="2" customWidth="1"/>
    <col min="8711" max="8711" width="20.1796875" style="2" customWidth="1"/>
    <col min="8712" max="8712" width="12.1796875" style="2" customWidth="1"/>
    <col min="8713" max="8713" width="9.81640625" style="2" customWidth="1"/>
    <col min="8714" max="8714" width="9.7265625" style="2" customWidth="1"/>
    <col min="8715" max="8715" width="14.453125" style="2" customWidth="1"/>
    <col min="8716" max="8716" width="14.26953125" style="2" customWidth="1"/>
    <col min="8717" max="8717" width="19.81640625" style="2" customWidth="1"/>
    <col min="8718" max="8718" width="19" style="2" customWidth="1"/>
    <col min="8719" max="8719" width="8.81640625" style="2"/>
    <col min="8720" max="8720" width="11.453125" style="2" customWidth="1"/>
    <col min="8721" max="8721" width="17" style="2" customWidth="1"/>
    <col min="8722" max="8722" width="14" style="2" customWidth="1"/>
    <col min="8723" max="8723" width="19.81640625" style="2" customWidth="1"/>
    <col min="8724" max="8725" width="16.81640625" style="2" customWidth="1"/>
    <col min="8726" max="8727" width="8.81640625" style="2"/>
    <col min="8728" max="8728" width="12.26953125" style="2" bestFit="1" customWidth="1"/>
    <col min="8729" max="8964" width="8.81640625" style="2"/>
    <col min="8965" max="8965" width="3.26953125" style="2" customWidth="1"/>
    <col min="8966" max="8966" width="20.26953125" style="2" customWidth="1"/>
    <col min="8967" max="8967" width="20.1796875" style="2" customWidth="1"/>
    <col min="8968" max="8968" width="12.1796875" style="2" customWidth="1"/>
    <col min="8969" max="8969" width="9.81640625" style="2" customWidth="1"/>
    <col min="8970" max="8970" width="9.7265625" style="2" customWidth="1"/>
    <col min="8971" max="8971" width="14.453125" style="2" customWidth="1"/>
    <col min="8972" max="8972" width="14.26953125" style="2" customWidth="1"/>
    <col min="8973" max="8973" width="19.81640625" style="2" customWidth="1"/>
    <col min="8974" max="8974" width="19" style="2" customWidth="1"/>
    <col min="8975" max="8975" width="8.81640625" style="2"/>
    <col min="8976" max="8976" width="11.453125" style="2" customWidth="1"/>
    <col min="8977" max="8977" width="17" style="2" customWidth="1"/>
    <col min="8978" max="8978" width="14" style="2" customWidth="1"/>
    <col min="8979" max="8979" width="19.81640625" style="2" customWidth="1"/>
    <col min="8980" max="8981" width="16.81640625" style="2" customWidth="1"/>
    <col min="8982" max="8983" width="8.81640625" style="2"/>
    <col min="8984" max="8984" width="12.26953125" style="2" bestFit="1" customWidth="1"/>
    <col min="8985" max="9220" width="8.81640625" style="2"/>
    <col min="9221" max="9221" width="3.26953125" style="2" customWidth="1"/>
    <col min="9222" max="9222" width="20.26953125" style="2" customWidth="1"/>
    <col min="9223" max="9223" width="20.1796875" style="2" customWidth="1"/>
    <col min="9224" max="9224" width="12.1796875" style="2" customWidth="1"/>
    <col min="9225" max="9225" width="9.81640625" style="2" customWidth="1"/>
    <col min="9226" max="9226" width="9.7265625" style="2" customWidth="1"/>
    <col min="9227" max="9227" width="14.453125" style="2" customWidth="1"/>
    <col min="9228" max="9228" width="14.26953125" style="2" customWidth="1"/>
    <col min="9229" max="9229" width="19.81640625" style="2" customWidth="1"/>
    <col min="9230" max="9230" width="19" style="2" customWidth="1"/>
    <col min="9231" max="9231" width="8.81640625" style="2"/>
    <col min="9232" max="9232" width="11.453125" style="2" customWidth="1"/>
    <col min="9233" max="9233" width="17" style="2" customWidth="1"/>
    <col min="9234" max="9234" width="14" style="2" customWidth="1"/>
    <col min="9235" max="9235" width="19.81640625" style="2" customWidth="1"/>
    <col min="9236" max="9237" width="16.81640625" style="2" customWidth="1"/>
    <col min="9238" max="9239" width="8.81640625" style="2"/>
    <col min="9240" max="9240" width="12.26953125" style="2" bestFit="1" customWidth="1"/>
    <col min="9241" max="9476" width="8.81640625" style="2"/>
    <col min="9477" max="9477" width="3.26953125" style="2" customWidth="1"/>
    <col min="9478" max="9478" width="20.26953125" style="2" customWidth="1"/>
    <col min="9479" max="9479" width="20.1796875" style="2" customWidth="1"/>
    <col min="9480" max="9480" width="12.1796875" style="2" customWidth="1"/>
    <col min="9481" max="9481" width="9.81640625" style="2" customWidth="1"/>
    <col min="9482" max="9482" width="9.7265625" style="2" customWidth="1"/>
    <col min="9483" max="9483" width="14.453125" style="2" customWidth="1"/>
    <col min="9484" max="9484" width="14.26953125" style="2" customWidth="1"/>
    <col min="9485" max="9485" width="19.81640625" style="2" customWidth="1"/>
    <col min="9486" max="9486" width="19" style="2" customWidth="1"/>
    <col min="9487" max="9487" width="8.81640625" style="2"/>
    <col min="9488" max="9488" width="11.453125" style="2" customWidth="1"/>
    <col min="9489" max="9489" width="17" style="2" customWidth="1"/>
    <col min="9490" max="9490" width="14" style="2" customWidth="1"/>
    <col min="9491" max="9491" width="19.81640625" style="2" customWidth="1"/>
    <col min="9492" max="9493" width="16.81640625" style="2" customWidth="1"/>
    <col min="9494" max="9495" width="8.81640625" style="2"/>
    <col min="9496" max="9496" width="12.26953125" style="2" bestFit="1" customWidth="1"/>
    <col min="9497" max="9732" width="8.81640625" style="2"/>
    <col min="9733" max="9733" width="3.26953125" style="2" customWidth="1"/>
    <col min="9734" max="9734" width="20.26953125" style="2" customWidth="1"/>
    <col min="9735" max="9735" width="20.1796875" style="2" customWidth="1"/>
    <col min="9736" max="9736" width="12.1796875" style="2" customWidth="1"/>
    <col min="9737" max="9737" width="9.81640625" style="2" customWidth="1"/>
    <col min="9738" max="9738" width="9.7265625" style="2" customWidth="1"/>
    <col min="9739" max="9739" width="14.453125" style="2" customWidth="1"/>
    <col min="9740" max="9740" width="14.26953125" style="2" customWidth="1"/>
    <col min="9741" max="9741" width="19.81640625" style="2" customWidth="1"/>
    <col min="9742" max="9742" width="19" style="2" customWidth="1"/>
    <col min="9743" max="9743" width="8.81640625" style="2"/>
    <col min="9744" max="9744" width="11.453125" style="2" customWidth="1"/>
    <col min="9745" max="9745" width="17" style="2" customWidth="1"/>
    <col min="9746" max="9746" width="14" style="2" customWidth="1"/>
    <col min="9747" max="9747" width="19.81640625" style="2" customWidth="1"/>
    <col min="9748" max="9749" width="16.81640625" style="2" customWidth="1"/>
    <col min="9750" max="9751" width="8.81640625" style="2"/>
    <col min="9752" max="9752" width="12.26953125" style="2" bestFit="1" customWidth="1"/>
    <col min="9753" max="9988" width="8.81640625" style="2"/>
    <col min="9989" max="9989" width="3.26953125" style="2" customWidth="1"/>
    <col min="9990" max="9990" width="20.26953125" style="2" customWidth="1"/>
    <col min="9991" max="9991" width="20.1796875" style="2" customWidth="1"/>
    <col min="9992" max="9992" width="12.1796875" style="2" customWidth="1"/>
    <col min="9993" max="9993" width="9.81640625" style="2" customWidth="1"/>
    <col min="9994" max="9994" width="9.7265625" style="2" customWidth="1"/>
    <col min="9995" max="9995" width="14.453125" style="2" customWidth="1"/>
    <col min="9996" max="9996" width="14.26953125" style="2" customWidth="1"/>
    <col min="9997" max="9997" width="19.81640625" style="2" customWidth="1"/>
    <col min="9998" max="9998" width="19" style="2" customWidth="1"/>
    <col min="9999" max="9999" width="8.81640625" style="2"/>
    <col min="10000" max="10000" width="11.453125" style="2" customWidth="1"/>
    <col min="10001" max="10001" width="17" style="2" customWidth="1"/>
    <col min="10002" max="10002" width="14" style="2" customWidth="1"/>
    <col min="10003" max="10003" width="19.81640625" style="2" customWidth="1"/>
    <col min="10004" max="10005" width="16.81640625" style="2" customWidth="1"/>
    <col min="10006" max="10007" width="8.81640625" style="2"/>
    <col min="10008" max="10008" width="12.26953125" style="2" bestFit="1" customWidth="1"/>
    <col min="10009" max="10244" width="8.81640625" style="2"/>
    <col min="10245" max="10245" width="3.26953125" style="2" customWidth="1"/>
    <col min="10246" max="10246" width="20.26953125" style="2" customWidth="1"/>
    <col min="10247" max="10247" width="20.1796875" style="2" customWidth="1"/>
    <col min="10248" max="10248" width="12.1796875" style="2" customWidth="1"/>
    <col min="10249" max="10249" width="9.81640625" style="2" customWidth="1"/>
    <col min="10250" max="10250" width="9.7265625" style="2" customWidth="1"/>
    <col min="10251" max="10251" width="14.453125" style="2" customWidth="1"/>
    <col min="10252" max="10252" width="14.26953125" style="2" customWidth="1"/>
    <col min="10253" max="10253" width="19.81640625" style="2" customWidth="1"/>
    <col min="10254" max="10254" width="19" style="2" customWidth="1"/>
    <col min="10255" max="10255" width="8.81640625" style="2"/>
    <col min="10256" max="10256" width="11.453125" style="2" customWidth="1"/>
    <col min="10257" max="10257" width="17" style="2" customWidth="1"/>
    <col min="10258" max="10258" width="14" style="2" customWidth="1"/>
    <col min="10259" max="10259" width="19.81640625" style="2" customWidth="1"/>
    <col min="10260" max="10261" width="16.81640625" style="2" customWidth="1"/>
    <col min="10262" max="10263" width="8.81640625" style="2"/>
    <col min="10264" max="10264" width="12.26953125" style="2" bestFit="1" customWidth="1"/>
    <col min="10265" max="10500" width="8.81640625" style="2"/>
    <col min="10501" max="10501" width="3.26953125" style="2" customWidth="1"/>
    <col min="10502" max="10502" width="20.26953125" style="2" customWidth="1"/>
    <col min="10503" max="10503" width="20.1796875" style="2" customWidth="1"/>
    <col min="10504" max="10504" width="12.1796875" style="2" customWidth="1"/>
    <col min="10505" max="10505" width="9.81640625" style="2" customWidth="1"/>
    <col min="10506" max="10506" width="9.7265625" style="2" customWidth="1"/>
    <col min="10507" max="10507" width="14.453125" style="2" customWidth="1"/>
    <col min="10508" max="10508" width="14.26953125" style="2" customWidth="1"/>
    <col min="10509" max="10509" width="19.81640625" style="2" customWidth="1"/>
    <col min="10510" max="10510" width="19" style="2" customWidth="1"/>
    <col min="10511" max="10511" width="8.81640625" style="2"/>
    <col min="10512" max="10512" width="11.453125" style="2" customWidth="1"/>
    <col min="10513" max="10513" width="17" style="2" customWidth="1"/>
    <col min="10514" max="10514" width="14" style="2" customWidth="1"/>
    <col min="10515" max="10515" width="19.81640625" style="2" customWidth="1"/>
    <col min="10516" max="10517" width="16.81640625" style="2" customWidth="1"/>
    <col min="10518" max="10519" width="8.81640625" style="2"/>
    <col min="10520" max="10520" width="12.26953125" style="2" bestFit="1" customWidth="1"/>
    <col min="10521" max="10756" width="8.81640625" style="2"/>
    <col min="10757" max="10757" width="3.26953125" style="2" customWidth="1"/>
    <col min="10758" max="10758" width="20.26953125" style="2" customWidth="1"/>
    <col min="10759" max="10759" width="20.1796875" style="2" customWidth="1"/>
    <col min="10760" max="10760" width="12.1796875" style="2" customWidth="1"/>
    <col min="10761" max="10761" width="9.81640625" style="2" customWidth="1"/>
    <col min="10762" max="10762" width="9.7265625" style="2" customWidth="1"/>
    <col min="10763" max="10763" width="14.453125" style="2" customWidth="1"/>
    <col min="10764" max="10764" width="14.26953125" style="2" customWidth="1"/>
    <col min="10765" max="10765" width="19.81640625" style="2" customWidth="1"/>
    <col min="10766" max="10766" width="19" style="2" customWidth="1"/>
    <col min="10767" max="10767" width="8.81640625" style="2"/>
    <col min="10768" max="10768" width="11.453125" style="2" customWidth="1"/>
    <col min="10769" max="10769" width="17" style="2" customWidth="1"/>
    <col min="10770" max="10770" width="14" style="2" customWidth="1"/>
    <col min="10771" max="10771" width="19.81640625" style="2" customWidth="1"/>
    <col min="10772" max="10773" width="16.81640625" style="2" customWidth="1"/>
    <col min="10774" max="10775" width="8.81640625" style="2"/>
    <col min="10776" max="10776" width="12.26953125" style="2" bestFit="1" customWidth="1"/>
    <col min="10777" max="11012" width="8.81640625" style="2"/>
    <col min="11013" max="11013" width="3.26953125" style="2" customWidth="1"/>
    <col min="11014" max="11014" width="20.26953125" style="2" customWidth="1"/>
    <col min="11015" max="11015" width="20.1796875" style="2" customWidth="1"/>
    <col min="11016" max="11016" width="12.1796875" style="2" customWidth="1"/>
    <col min="11017" max="11017" width="9.81640625" style="2" customWidth="1"/>
    <col min="11018" max="11018" width="9.7265625" style="2" customWidth="1"/>
    <col min="11019" max="11019" width="14.453125" style="2" customWidth="1"/>
    <col min="11020" max="11020" width="14.26953125" style="2" customWidth="1"/>
    <col min="11021" max="11021" width="19.81640625" style="2" customWidth="1"/>
    <col min="11022" max="11022" width="19" style="2" customWidth="1"/>
    <col min="11023" max="11023" width="8.81640625" style="2"/>
    <col min="11024" max="11024" width="11.453125" style="2" customWidth="1"/>
    <col min="11025" max="11025" width="17" style="2" customWidth="1"/>
    <col min="11026" max="11026" width="14" style="2" customWidth="1"/>
    <col min="11027" max="11027" width="19.81640625" style="2" customWidth="1"/>
    <col min="11028" max="11029" width="16.81640625" style="2" customWidth="1"/>
    <col min="11030" max="11031" width="8.81640625" style="2"/>
    <col min="11032" max="11032" width="12.26953125" style="2" bestFit="1" customWidth="1"/>
    <col min="11033" max="11268" width="8.81640625" style="2"/>
    <col min="11269" max="11269" width="3.26953125" style="2" customWidth="1"/>
    <col min="11270" max="11270" width="20.26953125" style="2" customWidth="1"/>
    <col min="11271" max="11271" width="20.1796875" style="2" customWidth="1"/>
    <col min="11272" max="11272" width="12.1796875" style="2" customWidth="1"/>
    <col min="11273" max="11273" width="9.81640625" style="2" customWidth="1"/>
    <col min="11274" max="11274" width="9.7265625" style="2" customWidth="1"/>
    <col min="11275" max="11275" width="14.453125" style="2" customWidth="1"/>
    <col min="11276" max="11276" width="14.26953125" style="2" customWidth="1"/>
    <col min="11277" max="11277" width="19.81640625" style="2" customWidth="1"/>
    <col min="11278" max="11278" width="19" style="2" customWidth="1"/>
    <col min="11279" max="11279" width="8.81640625" style="2"/>
    <col min="11280" max="11280" width="11.453125" style="2" customWidth="1"/>
    <col min="11281" max="11281" width="17" style="2" customWidth="1"/>
    <col min="11282" max="11282" width="14" style="2" customWidth="1"/>
    <col min="11283" max="11283" width="19.81640625" style="2" customWidth="1"/>
    <col min="11284" max="11285" width="16.81640625" style="2" customWidth="1"/>
    <col min="11286" max="11287" width="8.81640625" style="2"/>
    <col min="11288" max="11288" width="12.26953125" style="2" bestFit="1" customWidth="1"/>
    <col min="11289" max="11524" width="8.81640625" style="2"/>
    <col min="11525" max="11525" width="3.26953125" style="2" customWidth="1"/>
    <col min="11526" max="11526" width="20.26953125" style="2" customWidth="1"/>
    <col min="11527" max="11527" width="20.1796875" style="2" customWidth="1"/>
    <col min="11528" max="11528" width="12.1796875" style="2" customWidth="1"/>
    <col min="11529" max="11529" width="9.81640625" style="2" customWidth="1"/>
    <col min="11530" max="11530" width="9.7265625" style="2" customWidth="1"/>
    <col min="11531" max="11531" width="14.453125" style="2" customWidth="1"/>
    <col min="11532" max="11532" width="14.26953125" style="2" customWidth="1"/>
    <col min="11533" max="11533" width="19.81640625" style="2" customWidth="1"/>
    <col min="11534" max="11534" width="19" style="2" customWidth="1"/>
    <col min="11535" max="11535" width="8.81640625" style="2"/>
    <col min="11536" max="11536" width="11.453125" style="2" customWidth="1"/>
    <col min="11537" max="11537" width="17" style="2" customWidth="1"/>
    <col min="11538" max="11538" width="14" style="2" customWidth="1"/>
    <col min="11539" max="11539" width="19.81640625" style="2" customWidth="1"/>
    <col min="11540" max="11541" width="16.81640625" style="2" customWidth="1"/>
    <col min="11542" max="11543" width="8.81640625" style="2"/>
    <col min="11544" max="11544" width="12.26953125" style="2" bestFit="1" customWidth="1"/>
    <col min="11545" max="11780" width="8.81640625" style="2"/>
    <col min="11781" max="11781" width="3.26953125" style="2" customWidth="1"/>
    <col min="11782" max="11782" width="20.26953125" style="2" customWidth="1"/>
    <col min="11783" max="11783" width="20.1796875" style="2" customWidth="1"/>
    <col min="11784" max="11784" width="12.1796875" style="2" customWidth="1"/>
    <col min="11785" max="11785" width="9.81640625" style="2" customWidth="1"/>
    <col min="11786" max="11786" width="9.7265625" style="2" customWidth="1"/>
    <col min="11787" max="11787" width="14.453125" style="2" customWidth="1"/>
    <col min="11788" max="11788" width="14.26953125" style="2" customWidth="1"/>
    <col min="11789" max="11789" width="19.81640625" style="2" customWidth="1"/>
    <col min="11790" max="11790" width="19" style="2" customWidth="1"/>
    <col min="11791" max="11791" width="8.81640625" style="2"/>
    <col min="11792" max="11792" width="11.453125" style="2" customWidth="1"/>
    <col min="11793" max="11793" width="17" style="2" customWidth="1"/>
    <col min="11794" max="11794" width="14" style="2" customWidth="1"/>
    <col min="11795" max="11795" width="19.81640625" style="2" customWidth="1"/>
    <col min="11796" max="11797" width="16.81640625" style="2" customWidth="1"/>
    <col min="11798" max="11799" width="8.81640625" style="2"/>
    <col min="11800" max="11800" width="12.26953125" style="2" bestFit="1" customWidth="1"/>
    <col min="11801" max="12036" width="8.81640625" style="2"/>
    <col min="12037" max="12037" width="3.26953125" style="2" customWidth="1"/>
    <col min="12038" max="12038" width="20.26953125" style="2" customWidth="1"/>
    <col min="12039" max="12039" width="20.1796875" style="2" customWidth="1"/>
    <col min="12040" max="12040" width="12.1796875" style="2" customWidth="1"/>
    <col min="12041" max="12041" width="9.81640625" style="2" customWidth="1"/>
    <col min="12042" max="12042" width="9.7265625" style="2" customWidth="1"/>
    <col min="12043" max="12043" width="14.453125" style="2" customWidth="1"/>
    <col min="12044" max="12044" width="14.26953125" style="2" customWidth="1"/>
    <col min="12045" max="12045" width="19.81640625" style="2" customWidth="1"/>
    <col min="12046" max="12046" width="19" style="2" customWidth="1"/>
    <col min="12047" max="12047" width="8.81640625" style="2"/>
    <col min="12048" max="12048" width="11.453125" style="2" customWidth="1"/>
    <col min="12049" max="12049" width="17" style="2" customWidth="1"/>
    <col min="12050" max="12050" width="14" style="2" customWidth="1"/>
    <col min="12051" max="12051" width="19.81640625" style="2" customWidth="1"/>
    <col min="12052" max="12053" width="16.81640625" style="2" customWidth="1"/>
    <col min="12054" max="12055" width="8.81640625" style="2"/>
    <col min="12056" max="12056" width="12.26953125" style="2" bestFit="1" customWidth="1"/>
    <col min="12057" max="12292" width="8.81640625" style="2"/>
    <col min="12293" max="12293" width="3.26953125" style="2" customWidth="1"/>
    <col min="12294" max="12294" width="20.26953125" style="2" customWidth="1"/>
    <col min="12295" max="12295" width="20.1796875" style="2" customWidth="1"/>
    <col min="12296" max="12296" width="12.1796875" style="2" customWidth="1"/>
    <col min="12297" max="12297" width="9.81640625" style="2" customWidth="1"/>
    <col min="12298" max="12298" width="9.7265625" style="2" customWidth="1"/>
    <col min="12299" max="12299" width="14.453125" style="2" customWidth="1"/>
    <col min="12300" max="12300" width="14.26953125" style="2" customWidth="1"/>
    <col min="12301" max="12301" width="19.81640625" style="2" customWidth="1"/>
    <col min="12302" max="12302" width="19" style="2" customWidth="1"/>
    <col min="12303" max="12303" width="8.81640625" style="2"/>
    <col min="12304" max="12304" width="11.453125" style="2" customWidth="1"/>
    <col min="12305" max="12305" width="17" style="2" customWidth="1"/>
    <col min="12306" max="12306" width="14" style="2" customWidth="1"/>
    <col min="12307" max="12307" width="19.81640625" style="2" customWidth="1"/>
    <col min="12308" max="12309" width="16.81640625" style="2" customWidth="1"/>
    <col min="12310" max="12311" width="8.81640625" style="2"/>
    <col min="12312" max="12312" width="12.26953125" style="2" bestFit="1" customWidth="1"/>
    <col min="12313" max="12548" width="8.81640625" style="2"/>
    <col min="12549" max="12549" width="3.26953125" style="2" customWidth="1"/>
    <col min="12550" max="12550" width="20.26953125" style="2" customWidth="1"/>
    <col min="12551" max="12551" width="20.1796875" style="2" customWidth="1"/>
    <col min="12552" max="12552" width="12.1796875" style="2" customWidth="1"/>
    <col min="12553" max="12553" width="9.81640625" style="2" customWidth="1"/>
    <col min="12554" max="12554" width="9.7265625" style="2" customWidth="1"/>
    <col min="12555" max="12555" width="14.453125" style="2" customWidth="1"/>
    <col min="12556" max="12556" width="14.26953125" style="2" customWidth="1"/>
    <col min="12557" max="12557" width="19.81640625" style="2" customWidth="1"/>
    <col min="12558" max="12558" width="19" style="2" customWidth="1"/>
    <col min="12559" max="12559" width="8.81640625" style="2"/>
    <col min="12560" max="12560" width="11.453125" style="2" customWidth="1"/>
    <col min="12561" max="12561" width="17" style="2" customWidth="1"/>
    <col min="12562" max="12562" width="14" style="2" customWidth="1"/>
    <col min="12563" max="12563" width="19.81640625" style="2" customWidth="1"/>
    <col min="12564" max="12565" width="16.81640625" style="2" customWidth="1"/>
    <col min="12566" max="12567" width="8.81640625" style="2"/>
    <col min="12568" max="12568" width="12.26953125" style="2" bestFit="1" customWidth="1"/>
    <col min="12569" max="12804" width="8.81640625" style="2"/>
    <col min="12805" max="12805" width="3.26953125" style="2" customWidth="1"/>
    <col min="12806" max="12806" width="20.26953125" style="2" customWidth="1"/>
    <col min="12807" max="12807" width="20.1796875" style="2" customWidth="1"/>
    <col min="12808" max="12808" width="12.1796875" style="2" customWidth="1"/>
    <col min="12809" max="12809" width="9.81640625" style="2" customWidth="1"/>
    <col min="12810" max="12810" width="9.7265625" style="2" customWidth="1"/>
    <col min="12811" max="12811" width="14.453125" style="2" customWidth="1"/>
    <col min="12812" max="12812" width="14.26953125" style="2" customWidth="1"/>
    <col min="12813" max="12813" width="19.81640625" style="2" customWidth="1"/>
    <col min="12814" max="12814" width="19" style="2" customWidth="1"/>
    <col min="12815" max="12815" width="8.81640625" style="2"/>
    <col min="12816" max="12816" width="11.453125" style="2" customWidth="1"/>
    <col min="12817" max="12817" width="17" style="2" customWidth="1"/>
    <col min="12818" max="12818" width="14" style="2" customWidth="1"/>
    <col min="12819" max="12819" width="19.81640625" style="2" customWidth="1"/>
    <col min="12820" max="12821" width="16.81640625" style="2" customWidth="1"/>
    <col min="12822" max="12823" width="8.81640625" style="2"/>
    <col min="12824" max="12824" width="12.26953125" style="2" bestFit="1" customWidth="1"/>
    <col min="12825" max="13060" width="8.81640625" style="2"/>
    <col min="13061" max="13061" width="3.26953125" style="2" customWidth="1"/>
    <col min="13062" max="13062" width="20.26953125" style="2" customWidth="1"/>
    <col min="13063" max="13063" width="20.1796875" style="2" customWidth="1"/>
    <col min="13064" max="13064" width="12.1796875" style="2" customWidth="1"/>
    <col min="13065" max="13065" width="9.81640625" style="2" customWidth="1"/>
    <col min="13066" max="13066" width="9.7265625" style="2" customWidth="1"/>
    <col min="13067" max="13067" width="14.453125" style="2" customWidth="1"/>
    <col min="13068" max="13068" width="14.26953125" style="2" customWidth="1"/>
    <col min="13069" max="13069" width="19.81640625" style="2" customWidth="1"/>
    <col min="13070" max="13070" width="19" style="2" customWidth="1"/>
    <col min="13071" max="13071" width="8.81640625" style="2"/>
    <col min="13072" max="13072" width="11.453125" style="2" customWidth="1"/>
    <col min="13073" max="13073" width="17" style="2" customWidth="1"/>
    <col min="13074" max="13074" width="14" style="2" customWidth="1"/>
    <col min="13075" max="13075" width="19.81640625" style="2" customWidth="1"/>
    <col min="13076" max="13077" width="16.81640625" style="2" customWidth="1"/>
    <col min="13078" max="13079" width="8.81640625" style="2"/>
    <col min="13080" max="13080" width="12.26953125" style="2" bestFit="1" customWidth="1"/>
    <col min="13081" max="13316" width="8.81640625" style="2"/>
    <col min="13317" max="13317" width="3.26953125" style="2" customWidth="1"/>
    <col min="13318" max="13318" width="20.26953125" style="2" customWidth="1"/>
    <col min="13319" max="13319" width="20.1796875" style="2" customWidth="1"/>
    <col min="13320" max="13320" width="12.1796875" style="2" customWidth="1"/>
    <col min="13321" max="13321" width="9.81640625" style="2" customWidth="1"/>
    <col min="13322" max="13322" width="9.7265625" style="2" customWidth="1"/>
    <col min="13323" max="13323" width="14.453125" style="2" customWidth="1"/>
    <col min="13324" max="13324" width="14.26953125" style="2" customWidth="1"/>
    <col min="13325" max="13325" width="19.81640625" style="2" customWidth="1"/>
    <col min="13326" max="13326" width="19" style="2" customWidth="1"/>
    <col min="13327" max="13327" width="8.81640625" style="2"/>
    <col min="13328" max="13328" width="11.453125" style="2" customWidth="1"/>
    <col min="13329" max="13329" width="17" style="2" customWidth="1"/>
    <col min="13330" max="13330" width="14" style="2" customWidth="1"/>
    <col min="13331" max="13331" width="19.81640625" style="2" customWidth="1"/>
    <col min="13332" max="13333" width="16.81640625" style="2" customWidth="1"/>
    <col min="13334" max="13335" width="8.81640625" style="2"/>
    <col min="13336" max="13336" width="12.26953125" style="2" bestFit="1" customWidth="1"/>
    <col min="13337" max="13572" width="8.81640625" style="2"/>
    <col min="13573" max="13573" width="3.26953125" style="2" customWidth="1"/>
    <col min="13574" max="13574" width="20.26953125" style="2" customWidth="1"/>
    <col min="13575" max="13575" width="20.1796875" style="2" customWidth="1"/>
    <col min="13576" max="13576" width="12.1796875" style="2" customWidth="1"/>
    <col min="13577" max="13577" width="9.81640625" style="2" customWidth="1"/>
    <col min="13578" max="13578" width="9.7265625" style="2" customWidth="1"/>
    <col min="13579" max="13579" width="14.453125" style="2" customWidth="1"/>
    <col min="13580" max="13580" width="14.26953125" style="2" customWidth="1"/>
    <col min="13581" max="13581" width="19.81640625" style="2" customWidth="1"/>
    <col min="13582" max="13582" width="19" style="2" customWidth="1"/>
    <col min="13583" max="13583" width="8.81640625" style="2"/>
    <col min="13584" max="13584" width="11.453125" style="2" customWidth="1"/>
    <col min="13585" max="13585" width="17" style="2" customWidth="1"/>
    <col min="13586" max="13586" width="14" style="2" customWidth="1"/>
    <col min="13587" max="13587" width="19.81640625" style="2" customWidth="1"/>
    <col min="13588" max="13589" width="16.81640625" style="2" customWidth="1"/>
    <col min="13590" max="13591" width="8.81640625" style="2"/>
    <col min="13592" max="13592" width="12.26953125" style="2" bestFit="1" customWidth="1"/>
    <col min="13593" max="13828" width="8.81640625" style="2"/>
    <col min="13829" max="13829" width="3.26953125" style="2" customWidth="1"/>
    <col min="13830" max="13830" width="20.26953125" style="2" customWidth="1"/>
    <col min="13831" max="13831" width="20.1796875" style="2" customWidth="1"/>
    <col min="13832" max="13832" width="12.1796875" style="2" customWidth="1"/>
    <col min="13833" max="13833" width="9.81640625" style="2" customWidth="1"/>
    <col min="13834" max="13834" width="9.7265625" style="2" customWidth="1"/>
    <col min="13835" max="13835" width="14.453125" style="2" customWidth="1"/>
    <col min="13836" max="13836" width="14.26953125" style="2" customWidth="1"/>
    <col min="13837" max="13837" width="19.81640625" style="2" customWidth="1"/>
    <col min="13838" max="13838" width="19" style="2" customWidth="1"/>
    <col min="13839" max="13839" width="8.81640625" style="2"/>
    <col min="13840" max="13840" width="11.453125" style="2" customWidth="1"/>
    <col min="13841" max="13841" width="17" style="2" customWidth="1"/>
    <col min="13842" max="13842" width="14" style="2" customWidth="1"/>
    <col min="13843" max="13843" width="19.81640625" style="2" customWidth="1"/>
    <col min="13844" max="13845" width="16.81640625" style="2" customWidth="1"/>
    <col min="13846" max="13847" width="8.81640625" style="2"/>
    <col min="13848" max="13848" width="12.26953125" style="2" bestFit="1" customWidth="1"/>
    <col min="13849" max="14084" width="8.81640625" style="2"/>
    <col min="14085" max="14085" width="3.26953125" style="2" customWidth="1"/>
    <col min="14086" max="14086" width="20.26953125" style="2" customWidth="1"/>
    <col min="14087" max="14087" width="20.1796875" style="2" customWidth="1"/>
    <col min="14088" max="14088" width="12.1796875" style="2" customWidth="1"/>
    <col min="14089" max="14089" width="9.81640625" style="2" customWidth="1"/>
    <col min="14090" max="14090" width="9.7265625" style="2" customWidth="1"/>
    <col min="14091" max="14091" width="14.453125" style="2" customWidth="1"/>
    <col min="14092" max="14092" width="14.26953125" style="2" customWidth="1"/>
    <col min="14093" max="14093" width="19.81640625" style="2" customWidth="1"/>
    <col min="14094" max="14094" width="19" style="2" customWidth="1"/>
    <col min="14095" max="14095" width="8.81640625" style="2"/>
    <col min="14096" max="14096" width="11.453125" style="2" customWidth="1"/>
    <col min="14097" max="14097" width="17" style="2" customWidth="1"/>
    <col min="14098" max="14098" width="14" style="2" customWidth="1"/>
    <col min="14099" max="14099" width="19.81640625" style="2" customWidth="1"/>
    <col min="14100" max="14101" width="16.81640625" style="2" customWidth="1"/>
    <col min="14102" max="14103" width="8.81640625" style="2"/>
    <col min="14104" max="14104" width="12.26953125" style="2" bestFit="1" customWidth="1"/>
    <col min="14105" max="14340" width="8.81640625" style="2"/>
    <col min="14341" max="14341" width="3.26953125" style="2" customWidth="1"/>
    <col min="14342" max="14342" width="20.26953125" style="2" customWidth="1"/>
    <col min="14343" max="14343" width="20.1796875" style="2" customWidth="1"/>
    <col min="14344" max="14344" width="12.1796875" style="2" customWidth="1"/>
    <col min="14345" max="14345" width="9.81640625" style="2" customWidth="1"/>
    <col min="14346" max="14346" width="9.7265625" style="2" customWidth="1"/>
    <col min="14347" max="14347" width="14.453125" style="2" customWidth="1"/>
    <col min="14348" max="14348" width="14.26953125" style="2" customWidth="1"/>
    <col min="14349" max="14349" width="19.81640625" style="2" customWidth="1"/>
    <col min="14350" max="14350" width="19" style="2" customWidth="1"/>
    <col min="14351" max="14351" width="8.81640625" style="2"/>
    <col min="14352" max="14352" width="11.453125" style="2" customWidth="1"/>
    <col min="14353" max="14353" width="17" style="2" customWidth="1"/>
    <col min="14354" max="14354" width="14" style="2" customWidth="1"/>
    <col min="14355" max="14355" width="19.81640625" style="2" customWidth="1"/>
    <col min="14356" max="14357" width="16.81640625" style="2" customWidth="1"/>
    <col min="14358" max="14359" width="8.81640625" style="2"/>
    <col min="14360" max="14360" width="12.26953125" style="2" bestFit="1" customWidth="1"/>
    <col min="14361" max="14596" width="8.81640625" style="2"/>
    <col min="14597" max="14597" width="3.26953125" style="2" customWidth="1"/>
    <col min="14598" max="14598" width="20.26953125" style="2" customWidth="1"/>
    <col min="14599" max="14599" width="20.1796875" style="2" customWidth="1"/>
    <col min="14600" max="14600" width="12.1796875" style="2" customWidth="1"/>
    <col min="14601" max="14601" width="9.81640625" style="2" customWidth="1"/>
    <col min="14602" max="14602" width="9.7265625" style="2" customWidth="1"/>
    <col min="14603" max="14603" width="14.453125" style="2" customWidth="1"/>
    <col min="14604" max="14604" width="14.26953125" style="2" customWidth="1"/>
    <col min="14605" max="14605" width="19.81640625" style="2" customWidth="1"/>
    <col min="14606" max="14606" width="19" style="2" customWidth="1"/>
    <col min="14607" max="14607" width="8.81640625" style="2"/>
    <col min="14608" max="14608" width="11.453125" style="2" customWidth="1"/>
    <col min="14609" max="14609" width="17" style="2" customWidth="1"/>
    <col min="14610" max="14610" width="14" style="2" customWidth="1"/>
    <col min="14611" max="14611" width="19.81640625" style="2" customWidth="1"/>
    <col min="14612" max="14613" width="16.81640625" style="2" customWidth="1"/>
    <col min="14614" max="14615" width="8.81640625" style="2"/>
    <col min="14616" max="14616" width="12.26953125" style="2" bestFit="1" customWidth="1"/>
    <col min="14617" max="14852" width="8.81640625" style="2"/>
    <col min="14853" max="14853" width="3.26953125" style="2" customWidth="1"/>
    <col min="14854" max="14854" width="20.26953125" style="2" customWidth="1"/>
    <col min="14855" max="14855" width="20.1796875" style="2" customWidth="1"/>
    <col min="14856" max="14856" width="12.1796875" style="2" customWidth="1"/>
    <col min="14857" max="14857" width="9.81640625" style="2" customWidth="1"/>
    <col min="14858" max="14858" width="9.7265625" style="2" customWidth="1"/>
    <col min="14859" max="14859" width="14.453125" style="2" customWidth="1"/>
    <col min="14860" max="14860" width="14.26953125" style="2" customWidth="1"/>
    <col min="14861" max="14861" width="19.81640625" style="2" customWidth="1"/>
    <col min="14862" max="14862" width="19" style="2" customWidth="1"/>
    <col min="14863" max="14863" width="8.81640625" style="2"/>
    <col min="14864" max="14864" width="11.453125" style="2" customWidth="1"/>
    <col min="14865" max="14865" width="17" style="2" customWidth="1"/>
    <col min="14866" max="14866" width="14" style="2" customWidth="1"/>
    <col min="14867" max="14867" width="19.81640625" style="2" customWidth="1"/>
    <col min="14868" max="14869" width="16.81640625" style="2" customWidth="1"/>
    <col min="14870" max="14871" width="8.81640625" style="2"/>
    <col min="14872" max="14872" width="12.26953125" style="2" bestFit="1" customWidth="1"/>
    <col min="14873" max="15108" width="8.81640625" style="2"/>
    <col min="15109" max="15109" width="3.26953125" style="2" customWidth="1"/>
    <col min="15110" max="15110" width="20.26953125" style="2" customWidth="1"/>
    <col min="15111" max="15111" width="20.1796875" style="2" customWidth="1"/>
    <col min="15112" max="15112" width="12.1796875" style="2" customWidth="1"/>
    <col min="15113" max="15113" width="9.81640625" style="2" customWidth="1"/>
    <col min="15114" max="15114" width="9.7265625" style="2" customWidth="1"/>
    <col min="15115" max="15115" width="14.453125" style="2" customWidth="1"/>
    <col min="15116" max="15116" width="14.26953125" style="2" customWidth="1"/>
    <col min="15117" max="15117" width="19.81640625" style="2" customWidth="1"/>
    <col min="15118" max="15118" width="19" style="2" customWidth="1"/>
    <col min="15119" max="15119" width="8.81640625" style="2"/>
    <col min="15120" max="15120" width="11.453125" style="2" customWidth="1"/>
    <col min="15121" max="15121" width="17" style="2" customWidth="1"/>
    <col min="15122" max="15122" width="14" style="2" customWidth="1"/>
    <col min="15123" max="15123" width="19.81640625" style="2" customWidth="1"/>
    <col min="15124" max="15125" width="16.81640625" style="2" customWidth="1"/>
    <col min="15126" max="15127" width="8.81640625" style="2"/>
    <col min="15128" max="15128" width="12.26953125" style="2" bestFit="1" customWidth="1"/>
    <col min="15129" max="15364" width="8.81640625" style="2"/>
    <col min="15365" max="15365" width="3.26953125" style="2" customWidth="1"/>
    <col min="15366" max="15366" width="20.26953125" style="2" customWidth="1"/>
    <col min="15367" max="15367" width="20.1796875" style="2" customWidth="1"/>
    <col min="15368" max="15368" width="12.1796875" style="2" customWidth="1"/>
    <col min="15369" max="15369" width="9.81640625" style="2" customWidth="1"/>
    <col min="15370" max="15370" width="9.7265625" style="2" customWidth="1"/>
    <col min="15371" max="15371" width="14.453125" style="2" customWidth="1"/>
    <col min="15372" max="15372" width="14.26953125" style="2" customWidth="1"/>
    <col min="15373" max="15373" width="19.81640625" style="2" customWidth="1"/>
    <col min="15374" max="15374" width="19" style="2" customWidth="1"/>
    <col min="15375" max="15375" width="8.81640625" style="2"/>
    <col min="15376" max="15376" width="11.453125" style="2" customWidth="1"/>
    <col min="15377" max="15377" width="17" style="2" customWidth="1"/>
    <col min="15378" max="15378" width="14" style="2" customWidth="1"/>
    <col min="15379" max="15379" width="19.81640625" style="2" customWidth="1"/>
    <col min="15380" max="15381" width="16.81640625" style="2" customWidth="1"/>
    <col min="15382" max="15383" width="8.81640625" style="2"/>
    <col min="15384" max="15384" width="12.26953125" style="2" bestFit="1" customWidth="1"/>
    <col min="15385" max="15620" width="8.81640625" style="2"/>
    <col min="15621" max="15621" width="3.26953125" style="2" customWidth="1"/>
    <col min="15622" max="15622" width="20.26953125" style="2" customWidth="1"/>
    <col min="15623" max="15623" width="20.1796875" style="2" customWidth="1"/>
    <col min="15624" max="15624" width="12.1796875" style="2" customWidth="1"/>
    <col min="15625" max="15625" width="9.81640625" style="2" customWidth="1"/>
    <col min="15626" max="15626" width="9.7265625" style="2" customWidth="1"/>
    <col min="15627" max="15627" width="14.453125" style="2" customWidth="1"/>
    <col min="15628" max="15628" width="14.26953125" style="2" customWidth="1"/>
    <col min="15629" max="15629" width="19.81640625" style="2" customWidth="1"/>
    <col min="15630" max="15630" width="19" style="2" customWidth="1"/>
    <col min="15631" max="15631" width="8.81640625" style="2"/>
    <col min="15632" max="15632" width="11.453125" style="2" customWidth="1"/>
    <col min="15633" max="15633" width="17" style="2" customWidth="1"/>
    <col min="15634" max="15634" width="14" style="2" customWidth="1"/>
    <col min="15635" max="15635" width="19.81640625" style="2" customWidth="1"/>
    <col min="15636" max="15637" width="16.81640625" style="2" customWidth="1"/>
    <col min="15638" max="15639" width="8.81640625" style="2"/>
    <col min="15640" max="15640" width="12.26953125" style="2" bestFit="1" customWidth="1"/>
    <col min="15641" max="15876" width="8.81640625" style="2"/>
    <col min="15877" max="15877" width="3.26953125" style="2" customWidth="1"/>
    <col min="15878" max="15878" width="20.26953125" style="2" customWidth="1"/>
    <col min="15879" max="15879" width="20.1796875" style="2" customWidth="1"/>
    <col min="15880" max="15880" width="12.1796875" style="2" customWidth="1"/>
    <col min="15881" max="15881" width="9.81640625" style="2" customWidth="1"/>
    <col min="15882" max="15882" width="9.7265625" style="2" customWidth="1"/>
    <col min="15883" max="15883" width="14.453125" style="2" customWidth="1"/>
    <col min="15884" max="15884" width="14.26953125" style="2" customWidth="1"/>
    <col min="15885" max="15885" width="19.81640625" style="2" customWidth="1"/>
    <col min="15886" max="15886" width="19" style="2" customWidth="1"/>
    <col min="15887" max="15887" width="8.81640625" style="2"/>
    <col min="15888" max="15888" width="11.453125" style="2" customWidth="1"/>
    <col min="15889" max="15889" width="17" style="2" customWidth="1"/>
    <col min="15890" max="15890" width="14" style="2" customWidth="1"/>
    <col min="15891" max="15891" width="19.81640625" style="2" customWidth="1"/>
    <col min="15892" max="15893" width="16.81640625" style="2" customWidth="1"/>
    <col min="15894" max="15895" width="8.81640625" style="2"/>
    <col min="15896" max="15896" width="12.26953125" style="2" bestFit="1" customWidth="1"/>
    <col min="15897" max="16132" width="8.81640625" style="2"/>
    <col min="16133" max="16133" width="3.26953125" style="2" customWidth="1"/>
    <col min="16134" max="16134" width="20.26953125" style="2" customWidth="1"/>
    <col min="16135" max="16135" width="20.1796875" style="2" customWidth="1"/>
    <col min="16136" max="16136" width="12.1796875" style="2" customWidth="1"/>
    <col min="16137" max="16137" width="9.81640625" style="2" customWidth="1"/>
    <col min="16138" max="16138" width="9.7265625" style="2" customWidth="1"/>
    <col min="16139" max="16139" width="14.453125" style="2" customWidth="1"/>
    <col min="16140" max="16140" width="14.26953125" style="2" customWidth="1"/>
    <col min="16141" max="16141" width="19.81640625" style="2" customWidth="1"/>
    <col min="16142" max="16142" width="19" style="2" customWidth="1"/>
    <col min="16143" max="16143" width="8.81640625" style="2"/>
    <col min="16144" max="16144" width="11.453125" style="2" customWidth="1"/>
    <col min="16145" max="16145" width="17" style="2" customWidth="1"/>
    <col min="16146" max="16146" width="14" style="2" customWidth="1"/>
    <col min="16147" max="16147" width="19.81640625" style="2" customWidth="1"/>
    <col min="16148" max="16149" width="16.81640625" style="2" customWidth="1"/>
    <col min="16150" max="16151" width="8.81640625" style="2"/>
    <col min="16152" max="16152" width="12.26953125" style="2" bestFit="1" customWidth="1"/>
    <col min="16153" max="16382" width="8.81640625" style="2"/>
    <col min="16383" max="16384" width="8.81640625" style="2" customWidth="1"/>
  </cols>
  <sheetData>
    <row r="1" spans="1:55" customFormat="1" ht="21">
      <c r="A1" s="1"/>
      <c r="N1" s="2"/>
      <c r="T1" s="3"/>
      <c r="U1" s="4"/>
      <c r="V1" s="4"/>
      <c r="X1" s="5">
        <v>1000</v>
      </c>
      <c r="Y1" s="5">
        <v>400</v>
      </c>
      <c r="Z1" s="5">
        <v>5</v>
      </c>
      <c r="AA1" s="5">
        <v>6</v>
      </c>
      <c r="AB1" s="5">
        <v>2</v>
      </c>
      <c r="AC1" s="5">
        <v>72</v>
      </c>
      <c r="AD1" s="5">
        <v>1</v>
      </c>
      <c r="AE1" s="6">
        <v>3</v>
      </c>
      <c r="AF1" s="5"/>
      <c r="AG1" s="7">
        <v>0.5</v>
      </c>
      <c r="AH1" s="8"/>
      <c r="AI1" s="8">
        <f>SUM(AI6:AI282)*1000/SUMIF($K6:$K282,"수출",$X6:$X282)</f>
        <v>0.95452174596583161</v>
      </c>
      <c r="AJ1" s="8">
        <f>SUM(AJ6:AJ282)*1000/SUMIF($K6:$K282,"수출",$X6:$X282)</f>
        <v>4.4298019290182844E-2</v>
      </c>
      <c r="AK1" s="5"/>
      <c r="AL1" s="9"/>
      <c r="AM1" s="5"/>
      <c r="AN1" s="5"/>
      <c r="AO1" s="5"/>
      <c r="AP1" s="10"/>
      <c r="AQ1" s="11"/>
      <c r="AT1" s="5"/>
      <c r="AU1" s="5"/>
      <c r="AV1" s="5"/>
      <c r="AW1" s="5"/>
      <c r="AX1" s="5"/>
      <c r="AY1" s="5"/>
    </row>
    <row r="2" spans="1:55" customFormat="1">
      <c r="B2" s="29" t="s">
        <v>100</v>
      </c>
      <c r="N2" s="2"/>
      <c r="T2" s="4"/>
      <c r="U2" s="4"/>
      <c r="V2" s="4"/>
      <c r="X2" s="35">
        <v>10000</v>
      </c>
      <c r="Y2" s="5">
        <v>100</v>
      </c>
      <c r="Z2" s="5">
        <v>10</v>
      </c>
      <c r="AA2" s="5"/>
      <c r="AB2" s="5"/>
      <c r="AC2" s="5"/>
      <c r="AD2" s="5"/>
      <c r="AE2" s="5"/>
      <c r="AF2" s="5"/>
      <c r="AG2" s="5"/>
      <c r="AH2" s="2"/>
      <c r="AI2" s="2"/>
      <c r="AJ2" s="2"/>
      <c r="AK2" s="5"/>
      <c r="AL2" s="5"/>
      <c r="AM2" s="5"/>
      <c r="AN2" s="5"/>
      <c r="AO2" s="5"/>
      <c r="AP2" s="10"/>
    </row>
    <row r="3" spans="1:55" s="12" customFormat="1">
      <c r="B3" s="13"/>
      <c r="C3" s="13"/>
      <c r="D3" s="13"/>
      <c r="E3" s="13" t="s">
        <v>0</v>
      </c>
      <c r="F3" s="13" t="s">
        <v>1</v>
      </c>
      <c r="G3" s="13" t="s">
        <v>2</v>
      </c>
      <c r="H3" s="13" t="s">
        <v>3</v>
      </c>
      <c r="I3" s="13" t="s">
        <v>4</v>
      </c>
      <c r="J3" s="13" t="s">
        <v>5</v>
      </c>
      <c r="K3" s="13" t="s">
        <v>6</v>
      </c>
      <c r="L3" s="13" t="s">
        <v>7</v>
      </c>
      <c r="M3" s="13" t="s">
        <v>8</v>
      </c>
      <c r="N3" s="13" t="s">
        <v>9</v>
      </c>
      <c r="O3" s="13" t="s">
        <v>10</v>
      </c>
      <c r="P3" s="13" t="s">
        <v>11</v>
      </c>
      <c r="Q3" s="13"/>
      <c r="R3" s="13"/>
      <c r="S3" s="13"/>
      <c r="T3" s="13"/>
      <c r="U3" s="13"/>
      <c r="V3" s="13"/>
      <c r="W3" s="13"/>
      <c r="X3" s="14" t="s">
        <v>12</v>
      </c>
      <c r="Y3" s="14" t="s">
        <v>13</v>
      </c>
      <c r="Z3" s="14" t="s">
        <v>14</v>
      </c>
      <c r="AA3" s="14" t="s">
        <v>15</v>
      </c>
      <c r="AB3" s="14" t="s">
        <v>15</v>
      </c>
      <c r="AC3" s="14" t="s">
        <v>15</v>
      </c>
      <c r="AD3" s="14" t="s">
        <v>16</v>
      </c>
      <c r="AE3" s="14" t="s">
        <v>16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19</v>
      </c>
      <c r="AK3" s="14" t="s">
        <v>19</v>
      </c>
      <c r="AL3" s="14" t="s">
        <v>13</v>
      </c>
      <c r="AM3" s="14" t="s">
        <v>13</v>
      </c>
      <c r="AN3" s="14" t="s">
        <v>20</v>
      </c>
      <c r="AO3" s="14" t="s">
        <v>15</v>
      </c>
      <c r="AP3" s="15"/>
      <c r="AQ3" s="16" t="s">
        <v>12</v>
      </c>
      <c r="AR3" s="16" t="s">
        <v>13</v>
      </c>
      <c r="AS3" s="14" t="s">
        <v>13</v>
      </c>
      <c r="AT3" s="14" t="s">
        <v>13</v>
      </c>
      <c r="AU3" s="14" t="s">
        <v>13</v>
      </c>
      <c r="AV3" s="14" t="s">
        <v>13</v>
      </c>
      <c r="AW3" s="14" t="s">
        <v>14</v>
      </c>
      <c r="AX3" s="14" t="s">
        <v>13</v>
      </c>
      <c r="AY3" s="14" t="s">
        <v>13</v>
      </c>
      <c r="AZ3" s="14" t="s">
        <v>14</v>
      </c>
    </row>
    <row r="4" spans="1:55" s="12" customFormat="1" ht="20.149999999999999" customHeight="1">
      <c r="A4" s="12" t="s">
        <v>70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30</v>
      </c>
      <c r="L4" s="17" t="s">
        <v>31</v>
      </c>
      <c r="M4" s="17" t="s">
        <v>32</v>
      </c>
      <c r="N4" s="17" t="s">
        <v>33</v>
      </c>
      <c r="O4" s="17" t="s">
        <v>34</v>
      </c>
      <c r="P4" s="17" t="s">
        <v>35</v>
      </c>
      <c r="Q4" s="17" t="s">
        <v>36</v>
      </c>
      <c r="R4" s="17" t="s">
        <v>37</v>
      </c>
      <c r="S4" s="17" t="s">
        <v>38</v>
      </c>
      <c r="T4" s="17" t="s">
        <v>39</v>
      </c>
      <c r="U4" s="17" t="s">
        <v>40</v>
      </c>
      <c r="V4" s="17" t="s">
        <v>41</v>
      </c>
      <c r="W4" s="17" t="s">
        <v>42</v>
      </c>
      <c r="X4" s="17" t="s">
        <v>43</v>
      </c>
      <c r="Y4" s="17" t="s">
        <v>44</v>
      </c>
      <c r="Z4" s="17" t="s">
        <v>45</v>
      </c>
      <c r="AA4" s="17" t="s">
        <v>46</v>
      </c>
      <c r="AB4" s="17" t="s">
        <v>47</v>
      </c>
      <c r="AC4" s="17" t="s">
        <v>48</v>
      </c>
      <c r="AD4" s="17" t="s">
        <v>49</v>
      </c>
      <c r="AE4" s="17" t="s">
        <v>50</v>
      </c>
      <c r="AF4" s="17" t="s">
        <v>51</v>
      </c>
      <c r="AG4" s="18" t="s">
        <v>52</v>
      </c>
      <c r="AH4" s="17" t="s">
        <v>53</v>
      </c>
      <c r="AI4" s="17" t="s">
        <v>54</v>
      </c>
      <c r="AJ4" s="17" t="s">
        <v>55</v>
      </c>
      <c r="AK4" s="18" t="s">
        <v>56</v>
      </c>
      <c r="AL4" s="17" t="s">
        <v>57</v>
      </c>
      <c r="AM4" s="17" t="s">
        <v>58</v>
      </c>
      <c r="AN4" s="17" t="s">
        <v>20</v>
      </c>
      <c r="AO4" s="19" t="s">
        <v>59</v>
      </c>
      <c r="AP4" s="15"/>
      <c r="AQ4" s="17" t="s">
        <v>43</v>
      </c>
      <c r="AR4" s="17" t="s">
        <v>44</v>
      </c>
      <c r="AS4" s="17" t="s">
        <v>59</v>
      </c>
      <c r="AT4" s="17" t="s">
        <v>57</v>
      </c>
      <c r="AU4" s="17" t="s">
        <v>60</v>
      </c>
      <c r="AV4" s="17" t="s">
        <v>61</v>
      </c>
      <c r="AW4" s="17" t="s">
        <v>62</v>
      </c>
      <c r="AX4" s="17" t="s">
        <v>63</v>
      </c>
      <c r="AY4" s="17" t="s">
        <v>64</v>
      </c>
      <c r="AZ4" s="17" t="s">
        <v>65</v>
      </c>
    </row>
    <row r="5" spans="1:55" s="12" customFormat="1" ht="20.149999999999999" customHeight="1">
      <c r="A5" s="12" t="s">
        <v>71</v>
      </c>
      <c r="B5" s="17" t="s">
        <v>21</v>
      </c>
      <c r="C5" s="27" t="s">
        <v>22</v>
      </c>
      <c r="D5" s="27" t="s">
        <v>23</v>
      </c>
      <c r="E5" s="27" t="s">
        <v>72</v>
      </c>
      <c r="F5" s="27" t="s">
        <v>73</v>
      </c>
      <c r="G5" s="27" t="s">
        <v>74</v>
      </c>
      <c r="H5" s="17" t="s">
        <v>93</v>
      </c>
      <c r="I5" s="17" t="s">
        <v>83</v>
      </c>
      <c r="J5" s="17" t="s">
        <v>84</v>
      </c>
      <c r="K5" s="27" t="s">
        <v>75</v>
      </c>
      <c r="L5" s="17" t="s">
        <v>96</v>
      </c>
      <c r="M5" s="27" t="s">
        <v>76</v>
      </c>
      <c r="N5" s="17" t="s">
        <v>77</v>
      </c>
      <c r="O5" s="17" t="s">
        <v>94</v>
      </c>
      <c r="P5" s="27" t="s">
        <v>95</v>
      </c>
      <c r="Q5" s="17" t="s">
        <v>36</v>
      </c>
      <c r="R5" s="17" t="s">
        <v>37</v>
      </c>
      <c r="S5" s="27" t="s">
        <v>38</v>
      </c>
      <c r="T5" s="27" t="s">
        <v>78</v>
      </c>
      <c r="U5" s="17" t="s">
        <v>40</v>
      </c>
      <c r="V5" s="17" t="s">
        <v>41</v>
      </c>
      <c r="W5" s="17" t="s">
        <v>42</v>
      </c>
      <c r="X5" s="17" t="s">
        <v>43</v>
      </c>
      <c r="Y5" s="17" t="s">
        <v>44</v>
      </c>
      <c r="Z5" s="17" t="s">
        <v>45</v>
      </c>
      <c r="AA5" s="17" t="s">
        <v>46</v>
      </c>
      <c r="AB5" s="17" t="s">
        <v>47</v>
      </c>
      <c r="AC5" s="17" t="s">
        <v>48</v>
      </c>
      <c r="AD5" s="17" t="s">
        <v>49</v>
      </c>
      <c r="AE5" s="17" t="s">
        <v>50</v>
      </c>
      <c r="AF5" s="17" t="s">
        <v>51</v>
      </c>
      <c r="AG5" s="18" t="s">
        <v>52</v>
      </c>
      <c r="AH5" s="17" t="s">
        <v>53</v>
      </c>
      <c r="AI5" s="17" t="s">
        <v>54</v>
      </c>
      <c r="AJ5" s="17" t="s">
        <v>55</v>
      </c>
      <c r="AK5" s="18" t="s">
        <v>56</v>
      </c>
      <c r="AL5" s="17" t="s">
        <v>57</v>
      </c>
      <c r="AM5" s="17" t="s">
        <v>58</v>
      </c>
      <c r="AN5" s="17" t="s">
        <v>20</v>
      </c>
      <c r="AO5" s="19" t="s">
        <v>59</v>
      </c>
      <c r="AP5" s="15">
        <v>0</v>
      </c>
      <c r="AQ5" s="17" t="s">
        <v>43</v>
      </c>
      <c r="AR5" s="17" t="s">
        <v>44</v>
      </c>
      <c r="AS5" s="17" t="s">
        <v>59</v>
      </c>
      <c r="AT5" s="17" t="s">
        <v>57</v>
      </c>
      <c r="AU5" s="17" t="s">
        <v>60</v>
      </c>
      <c r="AV5" s="17" t="s">
        <v>61</v>
      </c>
      <c r="AW5" s="17" t="s">
        <v>62</v>
      </c>
      <c r="AX5" s="17" t="s">
        <v>63</v>
      </c>
      <c r="AY5" s="17" t="s">
        <v>64</v>
      </c>
      <c r="AZ5" s="17" t="s">
        <v>65</v>
      </c>
      <c r="BA5" s="17" t="s">
        <v>124</v>
      </c>
      <c r="BB5" s="17" t="s">
        <v>125</v>
      </c>
      <c r="BC5" s="17" t="s">
        <v>126</v>
      </c>
    </row>
    <row r="6" spans="1:55">
      <c r="B6" s="2" t="s">
        <v>66</v>
      </c>
      <c r="C6" s="2" t="s">
        <v>67</v>
      </c>
      <c r="D6" s="28" t="s">
        <v>81</v>
      </c>
      <c r="E6" s="28" t="s">
        <v>79</v>
      </c>
      <c r="F6" s="28" t="s">
        <v>68</v>
      </c>
      <c r="G6" s="28" t="s">
        <v>80</v>
      </c>
      <c r="H6" s="2" t="s">
        <v>117</v>
      </c>
      <c r="I6" s="2" t="s">
        <v>117</v>
      </c>
      <c r="J6" s="2" t="s">
        <v>117</v>
      </c>
      <c r="K6" s="28" t="s">
        <v>69</v>
      </c>
      <c r="L6" s="28" t="s">
        <v>97</v>
      </c>
      <c r="M6" s="2" t="s">
        <v>88</v>
      </c>
      <c r="N6" s="2" t="s">
        <v>118</v>
      </c>
      <c r="O6" s="2" t="s">
        <v>117</v>
      </c>
      <c r="P6" s="2" t="s">
        <v>111</v>
      </c>
      <c r="Q6" s="31" t="s">
        <v>131</v>
      </c>
      <c r="R6" s="2" t="s">
        <v>117</v>
      </c>
      <c r="S6" s="2" t="s">
        <v>120</v>
      </c>
      <c r="T6" s="20">
        <v>46023</v>
      </c>
      <c r="U6" s="32">
        <v>1</v>
      </c>
      <c r="V6" s="32">
        <v>1</v>
      </c>
      <c r="W6" s="22">
        <f>IF(K6="내수", 1, 1300)</f>
        <v>1</v>
      </c>
      <c r="X6" s="22">
        <v>9147</v>
      </c>
      <c r="Y6" s="23">
        <f t="shared" ref="Y6" si="0">X6*Z6/1000</f>
        <v>16188.635201213836</v>
      </c>
      <c r="Z6" s="24">
        <f>AA6+AB6+AC6</f>
        <v>1769.830020904541</v>
      </c>
      <c r="AA6" s="30">
        <v>1435.77001953125</v>
      </c>
      <c r="AB6" s="30">
        <v>294.94000244140625</v>
      </c>
      <c r="AC6" s="30">
        <v>39.119998931884766</v>
      </c>
      <c r="AD6" s="25">
        <f t="shared" ref="AD6" si="1">AE6+AF6+AG6</f>
        <v>621.14</v>
      </c>
      <c r="AE6" s="26">
        <v>547.72</v>
      </c>
      <c r="AF6" s="26">
        <v>73.42</v>
      </c>
      <c r="AG6" s="26">
        <f>IF(S6="미국", AE6/2,)</f>
        <v>0</v>
      </c>
      <c r="AH6" s="25">
        <f t="shared" ref="AH6" si="2">IF($K6="수출",AD6*$X6/1000000,)</f>
        <v>0</v>
      </c>
      <c r="AI6" s="25">
        <f t="shared" ref="AI6" si="3">IF($K6="수출",AE6*$X6/1000000,)</f>
        <v>0</v>
      </c>
      <c r="AJ6" s="25">
        <f t="shared" ref="AJ6" si="4">IF($K6="수출",AF6*$X6/1000000,)</f>
        <v>0</v>
      </c>
      <c r="AK6" s="25">
        <f t="shared" ref="AK6" si="5">IF($K6="수출",AG6*$X6/1000000,)</f>
        <v>0</v>
      </c>
      <c r="BA6" s="34">
        <f>AA6*X6</f>
        <v>13132988.368652344</v>
      </c>
      <c r="BB6" s="34">
        <f>AB6*X6</f>
        <v>2697816.202331543</v>
      </c>
      <c r="BC6" s="34">
        <f>AC6*X6</f>
        <v>357830.63022994995</v>
      </c>
    </row>
    <row r="7" spans="1:55">
      <c r="B7" s="2" t="s">
        <v>66</v>
      </c>
      <c r="C7" s="2" t="s">
        <v>67</v>
      </c>
      <c r="D7" s="28" t="s">
        <v>81</v>
      </c>
      <c r="E7" s="28" t="s">
        <v>79</v>
      </c>
      <c r="F7" s="28" t="s">
        <v>68</v>
      </c>
      <c r="G7" s="28" t="s">
        <v>80</v>
      </c>
      <c r="H7" s="2" t="s">
        <v>117</v>
      </c>
      <c r="I7" s="2" t="s">
        <v>117</v>
      </c>
      <c r="J7" s="2" t="s">
        <v>117</v>
      </c>
      <c r="K7" s="28" t="s">
        <v>69</v>
      </c>
      <c r="L7" s="28" t="s">
        <v>97</v>
      </c>
      <c r="M7" s="2" t="s">
        <v>88</v>
      </c>
      <c r="N7" s="2" t="s">
        <v>118</v>
      </c>
      <c r="O7" s="2" t="s">
        <v>117</v>
      </c>
      <c r="P7" s="2" t="s">
        <v>111</v>
      </c>
      <c r="Q7" s="31" t="s">
        <v>132</v>
      </c>
      <c r="R7" s="2" t="s">
        <v>117</v>
      </c>
      <c r="S7" s="2" t="s">
        <v>120</v>
      </c>
      <c r="T7" s="20">
        <v>46023</v>
      </c>
      <c r="U7" s="32">
        <v>1</v>
      </c>
      <c r="V7" s="32">
        <v>1</v>
      </c>
      <c r="W7" s="22">
        <f t="shared" ref="W7:W70" si="6">IF(K7="내수", 1, 1300)</f>
        <v>1</v>
      </c>
      <c r="X7" s="22">
        <v>3078</v>
      </c>
      <c r="Y7" s="23">
        <f t="shared" ref="Y7:Y70" si="7">X7*Z7/1000</f>
        <v>3887.5139001960756</v>
      </c>
      <c r="Z7" s="24">
        <f t="shared" ref="Z7:Z70" si="8">AA7+AB7+AC7</f>
        <v>1262.9999675750732</v>
      </c>
      <c r="AA7" s="30">
        <v>951.47998046875</v>
      </c>
      <c r="AB7" s="30">
        <v>287.29998779296875</v>
      </c>
      <c r="AC7" s="30">
        <v>24.219999313354492</v>
      </c>
      <c r="AD7" s="25">
        <f t="shared" ref="AD7:AD70" si="9">AE7+AF7+AG7</f>
        <v>275.26</v>
      </c>
      <c r="AE7" s="26">
        <v>184.73</v>
      </c>
      <c r="AF7" s="26">
        <v>90.53</v>
      </c>
      <c r="AG7" s="26">
        <f t="shared" ref="AG7:AG70" si="10">IF(S7="미국", AE7/2,)</f>
        <v>0</v>
      </c>
      <c r="AH7" s="25">
        <f t="shared" ref="AH7:AH70" si="11">IF($K7="수출",AD7*$X7/1000000,)</f>
        <v>0</v>
      </c>
      <c r="AI7" s="25">
        <f t="shared" ref="AI7:AI70" si="12">IF($K7="수출",AE7*$X7/1000000,)</f>
        <v>0</v>
      </c>
      <c r="AJ7" s="25">
        <f t="shared" ref="AJ7:AJ70" si="13">IF($K7="수출",AF7*$X7/1000000,)</f>
        <v>0</v>
      </c>
      <c r="AK7" s="25">
        <f t="shared" ref="AK7:AK70" si="14">IF($K7="수출",AG7*$X7/1000000,)</f>
        <v>0</v>
      </c>
      <c r="BA7" s="34">
        <f t="shared" ref="BA7:BA70" si="15">AA7*X7</f>
        <v>2928655.3798828125</v>
      </c>
      <c r="BB7" s="34">
        <f t="shared" ref="BB7:BB70" si="16">AB7*X7</f>
        <v>884309.36242675781</v>
      </c>
      <c r="BC7" s="34">
        <f t="shared" ref="BC7:BC70" si="17">AC7*X7</f>
        <v>74549.157886505127</v>
      </c>
    </row>
    <row r="8" spans="1:55">
      <c r="B8" s="2" t="s">
        <v>66</v>
      </c>
      <c r="C8" s="2" t="s">
        <v>67</v>
      </c>
      <c r="D8" s="28" t="s">
        <v>81</v>
      </c>
      <c r="E8" s="28" t="s">
        <v>79</v>
      </c>
      <c r="F8" s="28" t="s">
        <v>68</v>
      </c>
      <c r="G8" s="28" t="s">
        <v>80</v>
      </c>
      <c r="H8" s="2" t="s">
        <v>117</v>
      </c>
      <c r="I8" s="2" t="s">
        <v>117</v>
      </c>
      <c r="J8" s="2" t="s">
        <v>117</v>
      </c>
      <c r="K8" s="28" t="s">
        <v>69</v>
      </c>
      <c r="L8" s="28" t="s">
        <v>97</v>
      </c>
      <c r="M8" s="2" t="s">
        <v>88</v>
      </c>
      <c r="N8" s="2" t="s">
        <v>118</v>
      </c>
      <c r="O8" s="2" t="s">
        <v>117</v>
      </c>
      <c r="P8" s="2" t="s">
        <v>111</v>
      </c>
      <c r="Q8" s="31" t="s">
        <v>133</v>
      </c>
      <c r="R8" s="2" t="s">
        <v>117</v>
      </c>
      <c r="S8" s="2" t="s">
        <v>120</v>
      </c>
      <c r="T8" s="20">
        <v>46023</v>
      </c>
      <c r="U8" s="32">
        <v>1</v>
      </c>
      <c r="V8" s="32">
        <v>1</v>
      </c>
      <c r="W8" s="22">
        <f t="shared" si="6"/>
        <v>1</v>
      </c>
      <c r="X8" s="22">
        <v>21723</v>
      </c>
      <c r="Y8" s="23">
        <f t="shared" si="7"/>
        <v>33026.127469642641</v>
      </c>
      <c r="Z8" s="24">
        <f t="shared" si="8"/>
        <v>1520.329948425293</v>
      </c>
      <c r="AA8" s="30">
        <v>1234.0799560546875</v>
      </c>
      <c r="AB8" s="30">
        <v>219.64999389648438</v>
      </c>
      <c r="AC8" s="30">
        <v>66.599998474121094</v>
      </c>
      <c r="AD8" s="25">
        <f t="shared" si="9"/>
        <v>516.68000000000006</v>
      </c>
      <c r="AE8" s="26">
        <v>343.85</v>
      </c>
      <c r="AF8" s="26">
        <v>172.83</v>
      </c>
      <c r="AG8" s="26">
        <f t="shared" si="10"/>
        <v>0</v>
      </c>
      <c r="AH8" s="25">
        <f t="shared" si="11"/>
        <v>0</v>
      </c>
      <c r="AI8" s="25">
        <f t="shared" si="12"/>
        <v>0</v>
      </c>
      <c r="AJ8" s="25">
        <f t="shared" si="13"/>
        <v>0</v>
      </c>
      <c r="AK8" s="25">
        <f t="shared" si="14"/>
        <v>0</v>
      </c>
      <c r="BA8" s="34">
        <f t="shared" si="15"/>
        <v>26807918.885375977</v>
      </c>
      <c r="BB8" s="34">
        <f t="shared" si="16"/>
        <v>4771456.8174133301</v>
      </c>
      <c r="BC8" s="34">
        <f t="shared" si="17"/>
        <v>1446751.7668533325</v>
      </c>
    </row>
    <row r="9" spans="1:55">
      <c r="B9" s="2" t="s">
        <v>66</v>
      </c>
      <c r="C9" s="2" t="s">
        <v>67</v>
      </c>
      <c r="D9" s="28" t="s">
        <v>81</v>
      </c>
      <c r="E9" s="28" t="s">
        <v>79</v>
      </c>
      <c r="F9" s="28" t="s">
        <v>68</v>
      </c>
      <c r="G9" s="28" t="s">
        <v>80</v>
      </c>
      <c r="H9" s="2" t="s">
        <v>134</v>
      </c>
      <c r="I9" s="2" t="s">
        <v>117</v>
      </c>
      <c r="J9" s="2" t="s">
        <v>117</v>
      </c>
      <c r="K9" s="28" t="s">
        <v>69</v>
      </c>
      <c r="L9" s="28" t="s">
        <v>97</v>
      </c>
      <c r="M9" s="2" t="s">
        <v>88</v>
      </c>
      <c r="N9" s="2" t="s">
        <v>118</v>
      </c>
      <c r="O9" s="2" t="s">
        <v>117</v>
      </c>
      <c r="P9" s="2" t="s">
        <v>111</v>
      </c>
      <c r="Q9" s="31">
        <v>0</v>
      </c>
      <c r="R9" s="2" t="s">
        <v>117</v>
      </c>
      <c r="S9" s="2" t="s">
        <v>120</v>
      </c>
      <c r="T9" s="20">
        <v>46023</v>
      </c>
      <c r="U9" s="32">
        <v>1</v>
      </c>
      <c r="V9" s="32">
        <v>1</v>
      </c>
      <c r="W9" s="22">
        <f t="shared" si="6"/>
        <v>1</v>
      </c>
      <c r="X9" s="22">
        <v>8553</v>
      </c>
      <c r="Y9" s="23">
        <f t="shared" si="7"/>
        <v>11857.87931093216</v>
      </c>
      <c r="Z9" s="24">
        <f t="shared" si="8"/>
        <v>1386.4000129699707</v>
      </c>
      <c r="AA9" s="30">
        <v>1246.8900146484375</v>
      </c>
      <c r="AB9" s="30">
        <v>77</v>
      </c>
      <c r="AC9" s="30">
        <v>62.509998321533203</v>
      </c>
      <c r="AD9" s="25">
        <f t="shared" si="9"/>
        <v>1008.73</v>
      </c>
      <c r="AE9" s="26">
        <v>960.46</v>
      </c>
      <c r="AF9" s="26">
        <v>48.27</v>
      </c>
      <c r="AG9" s="26">
        <f t="shared" si="10"/>
        <v>0</v>
      </c>
      <c r="AH9" s="25">
        <f t="shared" si="11"/>
        <v>0</v>
      </c>
      <c r="AI9" s="25">
        <f t="shared" si="12"/>
        <v>0</v>
      </c>
      <c r="AJ9" s="25">
        <f t="shared" si="13"/>
        <v>0</v>
      </c>
      <c r="AK9" s="25">
        <f t="shared" si="14"/>
        <v>0</v>
      </c>
      <c r="BA9" s="34">
        <f t="shared" si="15"/>
        <v>10664650.295288086</v>
      </c>
      <c r="BB9" s="34">
        <f t="shared" si="16"/>
        <v>658581</v>
      </c>
      <c r="BC9" s="34">
        <f t="shared" si="17"/>
        <v>534648.01564407349</v>
      </c>
    </row>
    <row r="10" spans="1:55">
      <c r="B10" s="2" t="s">
        <v>66</v>
      </c>
      <c r="C10" s="2" t="s">
        <v>67</v>
      </c>
      <c r="D10" s="28" t="s">
        <v>81</v>
      </c>
      <c r="E10" s="28" t="s">
        <v>79</v>
      </c>
      <c r="F10" s="28" t="s">
        <v>68</v>
      </c>
      <c r="G10" s="28" t="s">
        <v>80</v>
      </c>
      <c r="H10" s="2" t="s">
        <v>135</v>
      </c>
      <c r="I10" s="2" t="s">
        <v>117</v>
      </c>
      <c r="J10" s="2" t="s">
        <v>117</v>
      </c>
      <c r="K10" s="28" t="s">
        <v>69</v>
      </c>
      <c r="L10" s="28" t="s">
        <v>97</v>
      </c>
      <c r="M10" s="2" t="s">
        <v>88</v>
      </c>
      <c r="N10" s="2" t="s">
        <v>118</v>
      </c>
      <c r="O10" s="2" t="s">
        <v>117</v>
      </c>
      <c r="P10" s="2" t="s">
        <v>111</v>
      </c>
      <c r="Q10" s="31">
        <v>0</v>
      </c>
      <c r="R10" s="2" t="s">
        <v>117</v>
      </c>
      <c r="S10" s="2" t="s">
        <v>120</v>
      </c>
      <c r="T10" s="20">
        <v>46023</v>
      </c>
      <c r="U10" s="32">
        <v>1</v>
      </c>
      <c r="V10" s="32">
        <v>1</v>
      </c>
      <c r="W10" s="22">
        <f t="shared" si="6"/>
        <v>1</v>
      </c>
      <c r="X10" s="22">
        <v>47325</v>
      </c>
      <c r="Y10" s="23">
        <f t="shared" si="7"/>
        <v>69670.446607589722</v>
      </c>
      <c r="Z10" s="24">
        <f t="shared" si="8"/>
        <v>1472.1700286865234</v>
      </c>
      <c r="AA10" s="30">
        <v>1219.6500244140625</v>
      </c>
      <c r="AB10" s="30">
        <v>219.6300048828125</v>
      </c>
      <c r="AC10" s="30">
        <v>32.889999389648438</v>
      </c>
      <c r="AD10" s="25">
        <f t="shared" si="9"/>
        <v>642.18000000000006</v>
      </c>
      <c r="AE10" s="26">
        <v>489.67</v>
      </c>
      <c r="AF10" s="26">
        <v>152.51</v>
      </c>
      <c r="AG10" s="26">
        <f t="shared" si="10"/>
        <v>0</v>
      </c>
      <c r="AH10" s="25">
        <f t="shared" si="11"/>
        <v>0</v>
      </c>
      <c r="AI10" s="25">
        <f t="shared" si="12"/>
        <v>0</v>
      </c>
      <c r="AJ10" s="25">
        <f t="shared" si="13"/>
        <v>0</v>
      </c>
      <c r="AK10" s="25">
        <f t="shared" si="14"/>
        <v>0</v>
      </c>
      <c r="BA10" s="34">
        <f t="shared" si="15"/>
        <v>57719937.405395508</v>
      </c>
      <c r="BB10" s="34">
        <f t="shared" si="16"/>
        <v>10393989.981079102</v>
      </c>
      <c r="BC10" s="34">
        <f t="shared" si="17"/>
        <v>1556519.2211151123</v>
      </c>
    </row>
    <row r="11" spans="1:55">
      <c r="B11" s="2" t="s">
        <v>66</v>
      </c>
      <c r="C11" s="2" t="s">
        <v>67</v>
      </c>
      <c r="D11" s="28" t="s">
        <v>81</v>
      </c>
      <c r="E11" s="28" t="s">
        <v>79</v>
      </c>
      <c r="F11" s="28" t="s">
        <v>68</v>
      </c>
      <c r="G11" s="28" t="s">
        <v>80</v>
      </c>
      <c r="H11" s="2" t="s">
        <v>117</v>
      </c>
      <c r="I11" s="2" t="s">
        <v>117</v>
      </c>
      <c r="J11" s="2" t="s">
        <v>117</v>
      </c>
      <c r="K11" s="28" t="s">
        <v>69</v>
      </c>
      <c r="L11" s="28" t="s">
        <v>97</v>
      </c>
      <c r="M11" s="2" t="s">
        <v>89</v>
      </c>
      <c r="N11" s="2" t="s">
        <v>119</v>
      </c>
      <c r="O11" s="2" t="s">
        <v>117</v>
      </c>
      <c r="P11" s="2" t="s">
        <v>111</v>
      </c>
      <c r="Q11" s="31" t="s">
        <v>131</v>
      </c>
      <c r="R11" s="2" t="s">
        <v>117</v>
      </c>
      <c r="S11" s="2" t="s">
        <v>120</v>
      </c>
      <c r="T11" s="20">
        <v>46023</v>
      </c>
      <c r="U11" s="32">
        <v>1</v>
      </c>
      <c r="V11" s="32">
        <v>1</v>
      </c>
      <c r="W11" s="22">
        <f t="shared" si="6"/>
        <v>1</v>
      </c>
      <c r="X11" s="22">
        <v>34732</v>
      </c>
      <c r="Y11" s="23">
        <f t="shared" si="7"/>
        <v>37077.799576782229</v>
      </c>
      <c r="Z11" s="24">
        <f t="shared" si="8"/>
        <v>1067.5400085449219</v>
      </c>
      <c r="AA11" s="30">
        <v>761</v>
      </c>
      <c r="AB11" s="30">
        <v>206.57000732421875</v>
      </c>
      <c r="AC11" s="30">
        <v>99.970001220703125</v>
      </c>
      <c r="AD11" s="25">
        <f t="shared" si="9"/>
        <v>589.37</v>
      </c>
      <c r="AE11" s="26">
        <v>435.27</v>
      </c>
      <c r="AF11" s="26">
        <v>154.1</v>
      </c>
      <c r="AG11" s="26">
        <f t="shared" si="10"/>
        <v>0</v>
      </c>
      <c r="AH11" s="25">
        <f t="shared" si="11"/>
        <v>0</v>
      </c>
      <c r="AI11" s="25">
        <f t="shared" si="12"/>
        <v>0</v>
      </c>
      <c r="AJ11" s="25">
        <f t="shared" si="13"/>
        <v>0</v>
      </c>
      <c r="AK11" s="25">
        <f t="shared" si="14"/>
        <v>0</v>
      </c>
      <c r="BA11" s="34">
        <f t="shared" si="15"/>
        <v>26431052</v>
      </c>
      <c r="BB11" s="34">
        <f t="shared" si="16"/>
        <v>7174589.4943847656</v>
      </c>
      <c r="BC11" s="34">
        <f t="shared" si="17"/>
        <v>3472158.0823974609</v>
      </c>
    </row>
    <row r="12" spans="1:55">
      <c r="B12" s="2" t="s">
        <v>66</v>
      </c>
      <c r="C12" s="2" t="s">
        <v>67</v>
      </c>
      <c r="D12" s="28" t="s">
        <v>81</v>
      </c>
      <c r="E12" s="28" t="s">
        <v>79</v>
      </c>
      <c r="F12" s="28" t="s">
        <v>68</v>
      </c>
      <c r="G12" s="28" t="s">
        <v>80</v>
      </c>
      <c r="H12" s="2" t="s">
        <v>117</v>
      </c>
      <c r="I12" s="2" t="s">
        <v>117</v>
      </c>
      <c r="J12" s="2" t="s">
        <v>117</v>
      </c>
      <c r="K12" s="28" t="s">
        <v>69</v>
      </c>
      <c r="L12" s="28" t="s">
        <v>97</v>
      </c>
      <c r="M12" s="2" t="s">
        <v>89</v>
      </c>
      <c r="N12" s="2" t="s">
        <v>119</v>
      </c>
      <c r="O12" s="2" t="s">
        <v>117</v>
      </c>
      <c r="P12" s="2" t="s">
        <v>111</v>
      </c>
      <c r="Q12" s="31" t="s">
        <v>132</v>
      </c>
      <c r="R12" s="2" t="s">
        <v>117</v>
      </c>
      <c r="S12" s="2" t="s">
        <v>120</v>
      </c>
      <c r="T12" s="20">
        <v>46023</v>
      </c>
      <c r="U12" s="32">
        <v>1</v>
      </c>
      <c r="V12" s="32">
        <v>1</v>
      </c>
      <c r="W12" s="22">
        <f t="shared" si="6"/>
        <v>1</v>
      </c>
      <c r="X12" s="22">
        <v>15566</v>
      </c>
      <c r="Y12" s="23">
        <f t="shared" si="7"/>
        <v>21073.873382995607</v>
      </c>
      <c r="Z12" s="24">
        <f t="shared" si="8"/>
        <v>1353.8399963378906</v>
      </c>
      <c r="AA12" s="30">
        <v>1171</v>
      </c>
      <c r="AB12" s="30">
        <v>94.029998779296875</v>
      </c>
      <c r="AC12" s="30">
        <v>88.80999755859375</v>
      </c>
      <c r="AD12" s="25">
        <f t="shared" si="9"/>
        <v>708.3900000000001</v>
      </c>
      <c r="AE12" s="26">
        <v>643.71</v>
      </c>
      <c r="AF12" s="26">
        <v>64.680000000000007</v>
      </c>
      <c r="AG12" s="26">
        <f t="shared" si="10"/>
        <v>0</v>
      </c>
      <c r="AH12" s="25">
        <f t="shared" si="11"/>
        <v>0</v>
      </c>
      <c r="AI12" s="25">
        <f t="shared" si="12"/>
        <v>0</v>
      </c>
      <c r="AJ12" s="25">
        <f t="shared" si="13"/>
        <v>0</v>
      </c>
      <c r="AK12" s="25">
        <f t="shared" si="14"/>
        <v>0</v>
      </c>
      <c r="BA12" s="34">
        <f t="shared" si="15"/>
        <v>18227786</v>
      </c>
      <c r="BB12" s="34">
        <f t="shared" si="16"/>
        <v>1463670.9609985352</v>
      </c>
      <c r="BC12" s="34">
        <f t="shared" si="17"/>
        <v>1382416.4219970703</v>
      </c>
    </row>
    <row r="13" spans="1:55">
      <c r="B13" s="2" t="s">
        <v>66</v>
      </c>
      <c r="C13" s="2" t="s">
        <v>67</v>
      </c>
      <c r="D13" s="28" t="s">
        <v>81</v>
      </c>
      <c r="E13" s="28" t="s">
        <v>79</v>
      </c>
      <c r="F13" s="28" t="s">
        <v>68</v>
      </c>
      <c r="G13" s="28" t="s">
        <v>80</v>
      </c>
      <c r="H13" s="2" t="s">
        <v>117</v>
      </c>
      <c r="I13" s="2" t="s">
        <v>117</v>
      </c>
      <c r="J13" s="2" t="s">
        <v>117</v>
      </c>
      <c r="K13" s="28" t="s">
        <v>69</v>
      </c>
      <c r="L13" s="28" t="s">
        <v>97</v>
      </c>
      <c r="M13" s="2" t="s">
        <v>89</v>
      </c>
      <c r="N13" s="2" t="s">
        <v>119</v>
      </c>
      <c r="O13" s="2" t="s">
        <v>117</v>
      </c>
      <c r="P13" s="2" t="s">
        <v>111</v>
      </c>
      <c r="Q13" s="31" t="s">
        <v>133</v>
      </c>
      <c r="R13" s="2" t="s">
        <v>117</v>
      </c>
      <c r="S13" s="2" t="s">
        <v>120</v>
      </c>
      <c r="T13" s="20">
        <v>46023</v>
      </c>
      <c r="U13" s="32">
        <v>1</v>
      </c>
      <c r="V13" s="32">
        <v>1</v>
      </c>
      <c r="W13" s="22">
        <f t="shared" si="6"/>
        <v>1</v>
      </c>
      <c r="X13" s="22">
        <v>30370</v>
      </c>
      <c r="Y13" s="23">
        <f t="shared" si="7"/>
        <v>24789.511717996596</v>
      </c>
      <c r="Z13" s="24">
        <f t="shared" si="8"/>
        <v>816.24997425079346</v>
      </c>
      <c r="AA13" s="30">
        <v>753.5999755859375</v>
      </c>
      <c r="AB13" s="30">
        <v>8.8000001907348633</v>
      </c>
      <c r="AC13" s="30">
        <v>53.849998474121094</v>
      </c>
      <c r="AD13" s="25">
        <f t="shared" si="9"/>
        <v>218.46</v>
      </c>
      <c r="AE13" s="26">
        <v>79.66</v>
      </c>
      <c r="AF13" s="26">
        <v>138.80000000000001</v>
      </c>
      <c r="AG13" s="26">
        <f t="shared" si="10"/>
        <v>0</v>
      </c>
      <c r="AH13" s="25">
        <f t="shared" si="11"/>
        <v>0</v>
      </c>
      <c r="AI13" s="25">
        <f t="shared" si="12"/>
        <v>0</v>
      </c>
      <c r="AJ13" s="25">
        <f t="shared" si="13"/>
        <v>0</v>
      </c>
      <c r="AK13" s="25">
        <f t="shared" si="14"/>
        <v>0</v>
      </c>
      <c r="BA13" s="34">
        <f t="shared" si="15"/>
        <v>22886831.258544922</v>
      </c>
      <c r="BB13" s="34">
        <f t="shared" si="16"/>
        <v>267256.0057926178</v>
      </c>
      <c r="BC13" s="34">
        <f t="shared" si="17"/>
        <v>1635424.4536590576</v>
      </c>
    </row>
    <row r="14" spans="1:55">
      <c r="B14" s="2" t="s">
        <v>66</v>
      </c>
      <c r="C14" s="2" t="s">
        <v>67</v>
      </c>
      <c r="D14" s="28" t="s">
        <v>81</v>
      </c>
      <c r="E14" s="28" t="s">
        <v>79</v>
      </c>
      <c r="F14" s="28" t="s">
        <v>68</v>
      </c>
      <c r="G14" s="28" t="s">
        <v>80</v>
      </c>
      <c r="H14" s="2" t="s">
        <v>134</v>
      </c>
      <c r="I14" s="2" t="s">
        <v>117</v>
      </c>
      <c r="J14" s="2" t="s">
        <v>117</v>
      </c>
      <c r="K14" s="28" t="s">
        <v>69</v>
      </c>
      <c r="L14" s="28" t="s">
        <v>97</v>
      </c>
      <c r="M14" s="2" t="s">
        <v>89</v>
      </c>
      <c r="N14" s="2" t="s">
        <v>119</v>
      </c>
      <c r="O14" s="2" t="s">
        <v>117</v>
      </c>
      <c r="P14" s="2" t="s">
        <v>111</v>
      </c>
      <c r="Q14" s="31">
        <v>0</v>
      </c>
      <c r="R14" s="2" t="s">
        <v>117</v>
      </c>
      <c r="S14" s="2" t="s">
        <v>120</v>
      </c>
      <c r="T14" s="20">
        <v>46023</v>
      </c>
      <c r="U14" s="32">
        <v>1</v>
      </c>
      <c r="V14" s="32">
        <v>1</v>
      </c>
      <c r="W14" s="22">
        <f t="shared" si="6"/>
        <v>1</v>
      </c>
      <c r="X14" s="22">
        <v>25593</v>
      </c>
      <c r="Y14" s="23">
        <f t="shared" si="7"/>
        <v>21917.588619787217</v>
      </c>
      <c r="Z14" s="24">
        <f t="shared" si="8"/>
        <v>856.38997459411621</v>
      </c>
      <c r="AA14" s="30">
        <v>729.15997314453125</v>
      </c>
      <c r="AB14" s="30">
        <v>96.720001220703125</v>
      </c>
      <c r="AC14" s="30">
        <v>30.510000228881836</v>
      </c>
      <c r="AD14" s="25">
        <f t="shared" si="9"/>
        <v>971.96999999999991</v>
      </c>
      <c r="AE14" s="26">
        <v>951.17</v>
      </c>
      <c r="AF14" s="26">
        <v>20.8</v>
      </c>
      <c r="AG14" s="26">
        <f t="shared" si="10"/>
        <v>0</v>
      </c>
      <c r="AH14" s="25">
        <f t="shared" si="11"/>
        <v>0</v>
      </c>
      <c r="AI14" s="25">
        <f t="shared" si="12"/>
        <v>0</v>
      </c>
      <c r="AJ14" s="25">
        <f t="shared" si="13"/>
        <v>0</v>
      </c>
      <c r="AK14" s="25">
        <f t="shared" si="14"/>
        <v>0</v>
      </c>
      <c r="BA14" s="34">
        <f t="shared" si="15"/>
        <v>18661391.192687988</v>
      </c>
      <c r="BB14" s="34">
        <f t="shared" si="16"/>
        <v>2475354.9912414551</v>
      </c>
      <c r="BC14" s="34">
        <f t="shared" si="17"/>
        <v>780842.43585777283</v>
      </c>
    </row>
    <row r="15" spans="1:55">
      <c r="B15" s="2" t="s">
        <v>66</v>
      </c>
      <c r="C15" s="2" t="s">
        <v>67</v>
      </c>
      <c r="D15" s="28" t="s">
        <v>81</v>
      </c>
      <c r="E15" s="28" t="s">
        <v>79</v>
      </c>
      <c r="F15" s="28" t="s">
        <v>68</v>
      </c>
      <c r="G15" s="28" t="s">
        <v>80</v>
      </c>
      <c r="H15" s="2" t="s">
        <v>135</v>
      </c>
      <c r="I15" s="2" t="s">
        <v>117</v>
      </c>
      <c r="J15" s="2" t="s">
        <v>117</v>
      </c>
      <c r="K15" s="28" t="s">
        <v>69</v>
      </c>
      <c r="L15" s="28" t="s">
        <v>97</v>
      </c>
      <c r="M15" s="2" t="s">
        <v>89</v>
      </c>
      <c r="N15" s="2" t="s">
        <v>119</v>
      </c>
      <c r="O15" s="2" t="s">
        <v>117</v>
      </c>
      <c r="P15" s="2" t="s">
        <v>111</v>
      </c>
      <c r="Q15" s="31">
        <v>0</v>
      </c>
      <c r="R15" s="2" t="s">
        <v>117</v>
      </c>
      <c r="S15" s="2" t="s">
        <v>120</v>
      </c>
      <c r="T15" s="20">
        <v>46023</v>
      </c>
      <c r="U15" s="32">
        <v>1</v>
      </c>
      <c r="V15" s="32">
        <v>1</v>
      </c>
      <c r="W15" s="22">
        <f t="shared" si="6"/>
        <v>1</v>
      </c>
      <c r="X15" s="22">
        <v>26252</v>
      </c>
      <c r="Y15" s="23">
        <f t="shared" si="7"/>
        <v>31627.096924892427</v>
      </c>
      <c r="Z15" s="24">
        <f t="shared" si="8"/>
        <v>1204.7499971389771</v>
      </c>
      <c r="AA15" s="30">
        <v>946.94000244140625</v>
      </c>
      <c r="AB15" s="30">
        <v>246.1199951171875</v>
      </c>
      <c r="AC15" s="30">
        <v>11.689999580383301</v>
      </c>
      <c r="AD15" s="25">
        <f t="shared" si="9"/>
        <v>1121.68</v>
      </c>
      <c r="AE15" s="26">
        <v>1013.25</v>
      </c>
      <c r="AF15" s="26">
        <v>108.43</v>
      </c>
      <c r="AG15" s="26">
        <f t="shared" si="10"/>
        <v>0</v>
      </c>
      <c r="AH15" s="25">
        <f t="shared" si="11"/>
        <v>0</v>
      </c>
      <c r="AI15" s="25">
        <f t="shared" si="12"/>
        <v>0</v>
      </c>
      <c r="AJ15" s="25">
        <f t="shared" si="13"/>
        <v>0</v>
      </c>
      <c r="AK15" s="25">
        <f t="shared" si="14"/>
        <v>0</v>
      </c>
      <c r="BA15" s="34">
        <f t="shared" si="15"/>
        <v>24859068.944091797</v>
      </c>
      <c r="BB15" s="34">
        <f t="shared" si="16"/>
        <v>6461142.1118164063</v>
      </c>
      <c r="BC15" s="34">
        <f t="shared" si="17"/>
        <v>306885.86898422241</v>
      </c>
    </row>
    <row r="16" spans="1:55">
      <c r="B16" s="2" t="s">
        <v>66</v>
      </c>
      <c r="C16" s="2" t="s">
        <v>67</v>
      </c>
      <c r="D16" s="28" t="s">
        <v>81</v>
      </c>
      <c r="E16" s="28" t="s">
        <v>79</v>
      </c>
      <c r="F16" s="28" t="s">
        <v>68</v>
      </c>
      <c r="G16" s="28" t="s">
        <v>80</v>
      </c>
      <c r="H16" s="2" t="s">
        <v>117</v>
      </c>
      <c r="I16" s="2" t="s">
        <v>117</v>
      </c>
      <c r="J16" s="2" t="s">
        <v>117</v>
      </c>
      <c r="K16" s="2" t="s">
        <v>69</v>
      </c>
      <c r="L16" s="28" t="s">
        <v>98</v>
      </c>
      <c r="M16" s="2" t="s">
        <v>85</v>
      </c>
      <c r="N16" s="2" t="s">
        <v>112</v>
      </c>
      <c r="O16" s="2" t="s">
        <v>117</v>
      </c>
      <c r="P16" s="2" t="s">
        <v>111</v>
      </c>
      <c r="Q16" s="31">
        <v>0</v>
      </c>
      <c r="R16" s="2" t="s">
        <v>117</v>
      </c>
      <c r="S16" s="2" t="s">
        <v>120</v>
      </c>
      <c r="T16" s="20">
        <v>46023</v>
      </c>
      <c r="U16" s="32">
        <v>1</v>
      </c>
      <c r="V16" s="32">
        <v>1</v>
      </c>
      <c r="W16" s="22">
        <f t="shared" si="6"/>
        <v>1</v>
      </c>
      <c r="X16" s="22">
        <v>21083</v>
      </c>
      <c r="Y16" s="23">
        <f t="shared" si="7"/>
        <v>34435.074839378358</v>
      </c>
      <c r="Z16" s="24">
        <f t="shared" si="8"/>
        <v>1633.3100051879883</v>
      </c>
      <c r="AA16" s="30">
        <v>1397.6300048828125</v>
      </c>
      <c r="AB16" s="30">
        <v>186.25</v>
      </c>
      <c r="AC16" s="30">
        <v>49.430000305175781</v>
      </c>
      <c r="AD16" s="25">
        <f t="shared" si="9"/>
        <v>1040.8600000000001</v>
      </c>
      <c r="AE16" s="26">
        <v>985.19</v>
      </c>
      <c r="AF16" s="26">
        <v>55.67</v>
      </c>
      <c r="AG16" s="26">
        <f t="shared" si="10"/>
        <v>0</v>
      </c>
      <c r="AH16" s="25">
        <f t="shared" si="11"/>
        <v>0</v>
      </c>
      <c r="AI16" s="25">
        <f t="shared" si="12"/>
        <v>0</v>
      </c>
      <c r="AJ16" s="25">
        <f t="shared" si="13"/>
        <v>0</v>
      </c>
      <c r="AK16" s="25">
        <f t="shared" si="14"/>
        <v>0</v>
      </c>
      <c r="BA16" s="34">
        <f t="shared" si="15"/>
        <v>29466233.392944336</v>
      </c>
      <c r="BB16" s="34">
        <f t="shared" si="16"/>
        <v>3926708.75</v>
      </c>
      <c r="BC16" s="34">
        <f t="shared" si="17"/>
        <v>1042132.696434021</v>
      </c>
    </row>
    <row r="17" spans="2:55">
      <c r="B17" s="2" t="s">
        <v>66</v>
      </c>
      <c r="C17" s="2" t="s">
        <v>67</v>
      </c>
      <c r="D17" s="28" t="s">
        <v>81</v>
      </c>
      <c r="E17" s="28" t="s">
        <v>79</v>
      </c>
      <c r="F17" s="28" t="s">
        <v>68</v>
      </c>
      <c r="G17" s="28" t="s">
        <v>80</v>
      </c>
      <c r="H17" s="2" t="s">
        <v>117</v>
      </c>
      <c r="I17" s="2" t="s">
        <v>117</v>
      </c>
      <c r="J17" s="2" t="s">
        <v>136</v>
      </c>
      <c r="K17" s="2" t="s">
        <v>69</v>
      </c>
      <c r="L17" s="28" t="s">
        <v>98</v>
      </c>
      <c r="M17" s="2" t="s">
        <v>85</v>
      </c>
      <c r="N17" s="2" t="s">
        <v>112</v>
      </c>
      <c r="O17" s="2" t="s">
        <v>117</v>
      </c>
      <c r="P17" s="2" t="s">
        <v>111</v>
      </c>
      <c r="Q17" s="31">
        <v>0</v>
      </c>
      <c r="R17" s="2" t="s">
        <v>117</v>
      </c>
      <c r="S17" s="2" t="s">
        <v>120</v>
      </c>
      <c r="T17" s="20">
        <v>46023</v>
      </c>
      <c r="U17" s="32">
        <v>1</v>
      </c>
      <c r="V17" s="32">
        <v>1</v>
      </c>
      <c r="W17" s="22">
        <f t="shared" si="6"/>
        <v>1</v>
      </c>
      <c r="X17" s="22">
        <v>10197</v>
      </c>
      <c r="Y17" s="23">
        <f t="shared" si="7"/>
        <v>10888.764287063599</v>
      </c>
      <c r="Z17" s="24">
        <f t="shared" si="8"/>
        <v>1067.8399810791016</v>
      </c>
      <c r="AA17" s="30">
        <v>725.78997802734375</v>
      </c>
      <c r="AB17" s="30">
        <v>260.69000244140625</v>
      </c>
      <c r="AC17" s="30">
        <v>81.360000610351563</v>
      </c>
      <c r="AD17" s="25">
        <f t="shared" si="9"/>
        <v>1717.4299999999998</v>
      </c>
      <c r="AE17" s="26">
        <v>1616.11</v>
      </c>
      <c r="AF17" s="26">
        <v>101.32</v>
      </c>
      <c r="AG17" s="26">
        <f t="shared" si="10"/>
        <v>0</v>
      </c>
      <c r="AH17" s="25">
        <f t="shared" si="11"/>
        <v>0</v>
      </c>
      <c r="AI17" s="25">
        <f t="shared" si="12"/>
        <v>0</v>
      </c>
      <c r="AJ17" s="25">
        <f t="shared" si="13"/>
        <v>0</v>
      </c>
      <c r="AK17" s="25">
        <f t="shared" si="14"/>
        <v>0</v>
      </c>
      <c r="BA17" s="34">
        <f t="shared" si="15"/>
        <v>7400880.4059448242</v>
      </c>
      <c r="BB17" s="34">
        <f t="shared" si="16"/>
        <v>2658255.9548950195</v>
      </c>
      <c r="BC17" s="34">
        <f t="shared" si="17"/>
        <v>829627.92622375488</v>
      </c>
    </row>
    <row r="18" spans="2:55">
      <c r="B18" s="2" t="s">
        <v>66</v>
      </c>
      <c r="C18" s="2" t="s">
        <v>67</v>
      </c>
      <c r="D18" s="28" t="s">
        <v>81</v>
      </c>
      <c r="E18" s="28" t="s">
        <v>79</v>
      </c>
      <c r="F18" s="28" t="s">
        <v>68</v>
      </c>
      <c r="G18" s="28" t="s">
        <v>80</v>
      </c>
      <c r="H18" s="2" t="s">
        <v>117</v>
      </c>
      <c r="I18" s="2" t="s">
        <v>117</v>
      </c>
      <c r="J18" s="2" t="s">
        <v>117</v>
      </c>
      <c r="K18" s="2" t="s">
        <v>69</v>
      </c>
      <c r="L18" s="2" t="s">
        <v>98</v>
      </c>
      <c r="M18" s="2" t="s">
        <v>86</v>
      </c>
      <c r="N18" s="2" t="s">
        <v>113</v>
      </c>
      <c r="O18" s="2" t="s">
        <v>117</v>
      </c>
      <c r="P18" s="2" t="s">
        <v>111</v>
      </c>
      <c r="Q18" s="31">
        <v>0</v>
      </c>
      <c r="R18" s="2" t="s">
        <v>117</v>
      </c>
      <c r="S18" s="2" t="s">
        <v>120</v>
      </c>
      <c r="T18" s="20">
        <v>46023</v>
      </c>
      <c r="U18" s="32">
        <v>1</v>
      </c>
      <c r="V18" s="32">
        <v>1</v>
      </c>
      <c r="W18" s="22">
        <f t="shared" si="6"/>
        <v>1</v>
      </c>
      <c r="X18" s="22">
        <v>15242</v>
      </c>
      <c r="Y18" s="23">
        <f t="shared" si="7"/>
        <v>24396.650779586791</v>
      </c>
      <c r="Z18" s="24">
        <f t="shared" si="8"/>
        <v>1600.6200485229492</v>
      </c>
      <c r="AA18" s="30">
        <v>1342.4300537109375</v>
      </c>
      <c r="AB18" s="30">
        <v>175.83999633789063</v>
      </c>
      <c r="AC18" s="30">
        <v>82.349998474121094</v>
      </c>
      <c r="AD18" s="25">
        <f t="shared" si="9"/>
        <v>963.67000000000007</v>
      </c>
      <c r="AE18" s="26">
        <v>952.82</v>
      </c>
      <c r="AF18" s="26">
        <v>10.85</v>
      </c>
      <c r="AG18" s="26">
        <f t="shared" si="10"/>
        <v>0</v>
      </c>
      <c r="AH18" s="25">
        <f t="shared" si="11"/>
        <v>0</v>
      </c>
      <c r="AI18" s="25">
        <f t="shared" si="12"/>
        <v>0</v>
      </c>
      <c r="AJ18" s="25">
        <f t="shared" si="13"/>
        <v>0</v>
      </c>
      <c r="AK18" s="25">
        <f t="shared" si="14"/>
        <v>0</v>
      </c>
      <c r="BA18" s="34">
        <f t="shared" si="15"/>
        <v>20461318.878662109</v>
      </c>
      <c r="BB18" s="34">
        <f t="shared" si="16"/>
        <v>2680153.2241821289</v>
      </c>
      <c r="BC18" s="34">
        <f t="shared" si="17"/>
        <v>1255178.6767425537</v>
      </c>
    </row>
    <row r="19" spans="2:55">
      <c r="B19" s="2" t="s">
        <v>66</v>
      </c>
      <c r="C19" s="2" t="s">
        <v>67</v>
      </c>
      <c r="D19" s="28" t="s">
        <v>81</v>
      </c>
      <c r="E19" s="28" t="s">
        <v>79</v>
      </c>
      <c r="F19" s="28" t="s">
        <v>68</v>
      </c>
      <c r="G19" s="28" t="s">
        <v>80</v>
      </c>
      <c r="H19" s="2" t="s">
        <v>137</v>
      </c>
      <c r="I19" s="2" t="s">
        <v>117</v>
      </c>
      <c r="J19" s="2" t="s">
        <v>117</v>
      </c>
      <c r="K19" s="2" t="s">
        <v>69</v>
      </c>
      <c r="L19" s="2" t="s">
        <v>98</v>
      </c>
      <c r="M19" s="2" t="s">
        <v>86</v>
      </c>
      <c r="N19" s="2" t="s">
        <v>113</v>
      </c>
      <c r="O19" s="2" t="s">
        <v>117</v>
      </c>
      <c r="P19" s="2" t="s">
        <v>111</v>
      </c>
      <c r="Q19" s="31">
        <v>0</v>
      </c>
      <c r="R19" s="2" t="s">
        <v>117</v>
      </c>
      <c r="S19" s="2" t="s">
        <v>120</v>
      </c>
      <c r="T19" s="20">
        <v>46023</v>
      </c>
      <c r="U19" s="32">
        <v>1</v>
      </c>
      <c r="V19" s="32">
        <v>1</v>
      </c>
      <c r="W19" s="22">
        <f t="shared" si="6"/>
        <v>1</v>
      </c>
      <c r="X19" s="22">
        <v>2053</v>
      </c>
      <c r="Y19" s="23">
        <f t="shared" si="7"/>
        <v>2879.8458361473085</v>
      </c>
      <c r="Z19" s="24">
        <f t="shared" si="8"/>
        <v>1402.7500419616699</v>
      </c>
      <c r="AA19" s="30">
        <v>1137.4200439453125</v>
      </c>
      <c r="AB19" s="30">
        <v>224.30999755859375</v>
      </c>
      <c r="AC19" s="30">
        <v>41.020000457763672</v>
      </c>
      <c r="AD19" s="25">
        <f t="shared" si="9"/>
        <v>194.74</v>
      </c>
      <c r="AE19" s="26">
        <v>171.21</v>
      </c>
      <c r="AF19" s="26">
        <v>23.53</v>
      </c>
      <c r="AG19" s="26">
        <f t="shared" si="10"/>
        <v>0</v>
      </c>
      <c r="AH19" s="25">
        <f t="shared" si="11"/>
        <v>0</v>
      </c>
      <c r="AI19" s="25">
        <f t="shared" si="12"/>
        <v>0</v>
      </c>
      <c r="AJ19" s="25">
        <f t="shared" si="13"/>
        <v>0</v>
      </c>
      <c r="AK19" s="25">
        <f t="shared" si="14"/>
        <v>0</v>
      </c>
      <c r="BA19" s="34">
        <f t="shared" si="15"/>
        <v>2335123.3502197266</v>
      </c>
      <c r="BB19" s="34">
        <f t="shared" si="16"/>
        <v>460508.42498779297</v>
      </c>
      <c r="BC19" s="34">
        <f t="shared" si="17"/>
        <v>84214.060939788818</v>
      </c>
    </row>
    <row r="20" spans="2:55">
      <c r="B20" s="2" t="s">
        <v>66</v>
      </c>
      <c r="C20" s="2" t="s">
        <v>67</v>
      </c>
      <c r="D20" s="28" t="s">
        <v>81</v>
      </c>
      <c r="E20" s="28" t="s">
        <v>79</v>
      </c>
      <c r="F20" s="28" t="s">
        <v>68</v>
      </c>
      <c r="G20" s="28" t="s">
        <v>80</v>
      </c>
      <c r="H20" s="2" t="s">
        <v>117</v>
      </c>
      <c r="I20" s="2" t="s">
        <v>117</v>
      </c>
      <c r="J20" s="2" t="s">
        <v>117</v>
      </c>
      <c r="K20" s="2" t="s">
        <v>69</v>
      </c>
      <c r="L20" s="2" t="s">
        <v>98</v>
      </c>
      <c r="M20" s="2" t="s">
        <v>86</v>
      </c>
      <c r="N20" s="2" t="s">
        <v>114</v>
      </c>
      <c r="O20" s="2" t="s">
        <v>117</v>
      </c>
      <c r="P20" s="2" t="s">
        <v>111</v>
      </c>
      <c r="Q20" s="31">
        <v>0</v>
      </c>
      <c r="R20" s="2" t="s">
        <v>117</v>
      </c>
      <c r="S20" s="2" t="s">
        <v>120</v>
      </c>
      <c r="T20" s="20">
        <v>46023</v>
      </c>
      <c r="U20" s="32">
        <v>1</v>
      </c>
      <c r="V20" s="32">
        <v>1</v>
      </c>
      <c r="W20" s="22">
        <f t="shared" si="6"/>
        <v>1</v>
      </c>
      <c r="X20" s="22">
        <v>15811</v>
      </c>
      <c r="Y20" s="23">
        <f t="shared" si="7"/>
        <v>25879.760231090546</v>
      </c>
      <c r="Z20" s="24">
        <f t="shared" si="8"/>
        <v>1636.8199501037598</v>
      </c>
      <c r="AA20" s="30">
        <v>1392.0699462890625</v>
      </c>
      <c r="AB20" s="30">
        <v>183.41000366210938</v>
      </c>
      <c r="AC20" s="30">
        <v>61.340000152587891</v>
      </c>
      <c r="AD20" s="25">
        <f t="shared" si="9"/>
        <v>1751.32</v>
      </c>
      <c r="AE20" s="26">
        <v>1600.22</v>
      </c>
      <c r="AF20" s="26">
        <v>151.1</v>
      </c>
      <c r="AG20" s="26">
        <f t="shared" si="10"/>
        <v>0</v>
      </c>
      <c r="AH20" s="25">
        <f t="shared" si="11"/>
        <v>0</v>
      </c>
      <c r="AI20" s="25">
        <f t="shared" si="12"/>
        <v>0</v>
      </c>
      <c r="AJ20" s="25">
        <f t="shared" si="13"/>
        <v>0</v>
      </c>
      <c r="AK20" s="25">
        <f t="shared" si="14"/>
        <v>0</v>
      </c>
      <c r="BA20" s="34">
        <f t="shared" si="15"/>
        <v>22010017.920776367</v>
      </c>
      <c r="BB20" s="34">
        <f t="shared" si="16"/>
        <v>2899895.5679016113</v>
      </c>
      <c r="BC20" s="34">
        <f t="shared" si="17"/>
        <v>969846.74241256714</v>
      </c>
    </row>
    <row r="21" spans="2:55">
      <c r="B21" s="2" t="s">
        <v>66</v>
      </c>
      <c r="C21" s="2" t="s">
        <v>67</v>
      </c>
      <c r="D21" s="28" t="s">
        <v>81</v>
      </c>
      <c r="E21" s="28" t="s">
        <v>79</v>
      </c>
      <c r="F21" s="28" t="s">
        <v>68</v>
      </c>
      <c r="G21" s="28" t="s">
        <v>80</v>
      </c>
      <c r="H21" s="2" t="s">
        <v>117</v>
      </c>
      <c r="I21" s="2" t="s">
        <v>117</v>
      </c>
      <c r="J21" s="2" t="s">
        <v>117</v>
      </c>
      <c r="K21" s="2" t="s">
        <v>69</v>
      </c>
      <c r="L21" s="2" t="s">
        <v>98</v>
      </c>
      <c r="M21" s="2" t="s">
        <v>86</v>
      </c>
      <c r="N21" s="2" t="s">
        <v>138</v>
      </c>
      <c r="O21" s="2" t="s">
        <v>117</v>
      </c>
      <c r="P21" s="2" t="s">
        <v>111</v>
      </c>
      <c r="Q21" s="31">
        <v>0</v>
      </c>
      <c r="R21" s="2" t="s">
        <v>117</v>
      </c>
      <c r="S21" s="2" t="s">
        <v>120</v>
      </c>
      <c r="T21" s="20">
        <v>46023</v>
      </c>
      <c r="U21" s="32">
        <v>1</v>
      </c>
      <c r="V21" s="32">
        <v>1</v>
      </c>
      <c r="W21" s="22">
        <f t="shared" si="6"/>
        <v>1</v>
      </c>
      <c r="X21" s="22">
        <v>28699</v>
      </c>
      <c r="Y21" s="23">
        <f t="shared" si="7"/>
        <v>42166.865590187073</v>
      </c>
      <c r="Z21" s="24">
        <f t="shared" si="8"/>
        <v>1469.2799606323242</v>
      </c>
      <c r="AA21" s="30">
        <v>1291.5899658203125</v>
      </c>
      <c r="AB21" s="30">
        <v>88.519996643066406</v>
      </c>
      <c r="AC21" s="30">
        <v>89.169998168945313</v>
      </c>
      <c r="AD21" s="25">
        <f t="shared" si="9"/>
        <v>461.17999999999995</v>
      </c>
      <c r="AE21" s="26">
        <v>444.15</v>
      </c>
      <c r="AF21" s="26">
        <v>17.03</v>
      </c>
      <c r="AG21" s="26">
        <f t="shared" si="10"/>
        <v>0</v>
      </c>
      <c r="AH21" s="25">
        <f t="shared" si="11"/>
        <v>0</v>
      </c>
      <c r="AI21" s="25">
        <f t="shared" si="12"/>
        <v>0</v>
      </c>
      <c r="AJ21" s="25">
        <f t="shared" si="13"/>
        <v>0</v>
      </c>
      <c r="AK21" s="25">
        <f t="shared" si="14"/>
        <v>0</v>
      </c>
      <c r="BA21" s="34">
        <f t="shared" si="15"/>
        <v>37067340.429077148</v>
      </c>
      <c r="BB21" s="34">
        <f t="shared" si="16"/>
        <v>2540435.3836593628</v>
      </c>
      <c r="BC21" s="34">
        <f t="shared" si="17"/>
        <v>2559089.7774505615</v>
      </c>
    </row>
    <row r="22" spans="2:55">
      <c r="B22" s="2" t="s">
        <v>66</v>
      </c>
      <c r="C22" s="2" t="s">
        <v>67</v>
      </c>
      <c r="D22" s="28" t="s">
        <v>81</v>
      </c>
      <c r="E22" s="28" t="s">
        <v>79</v>
      </c>
      <c r="F22" s="28" t="s">
        <v>68</v>
      </c>
      <c r="G22" s="28" t="s">
        <v>80</v>
      </c>
      <c r="H22" s="2" t="s">
        <v>117</v>
      </c>
      <c r="I22" s="2" t="s">
        <v>117</v>
      </c>
      <c r="J22" s="2" t="s">
        <v>117</v>
      </c>
      <c r="K22" s="2" t="s">
        <v>69</v>
      </c>
      <c r="L22" s="2" t="s">
        <v>98</v>
      </c>
      <c r="M22" s="2" t="s">
        <v>87</v>
      </c>
      <c r="N22" s="2" t="s">
        <v>115</v>
      </c>
      <c r="O22" s="2" t="s">
        <v>117</v>
      </c>
      <c r="P22" s="2" t="s">
        <v>110</v>
      </c>
      <c r="Q22" s="31"/>
      <c r="R22" s="2" t="s">
        <v>117</v>
      </c>
      <c r="S22" s="2" t="s">
        <v>120</v>
      </c>
      <c r="T22" s="20">
        <v>46023</v>
      </c>
      <c r="U22" s="32">
        <v>1</v>
      </c>
      <c r="V22" s="32">
        <v>1</v>
      </c>
      <c r="W22" s="22">
        <f t="shared" si="6"/>
        <v>1</v>
      </c>
      <c r="X22" s="22">
        <v>50060</v>
      </c>
      <c r="Y22" s="23">
        <f t="shared" si="7"/>
        <v>84249.476160507198</v>
      </c>
      <c r="Z22" s="24">
        <f t="shared" si="8"/>
        <v>1682.9699592590332</v>
      </c>
      <c r="AA22" s="30">
        <v>1437.5799560546875</v>
      </c>
      <c r="AB22" s="30">
        <v>181.58000183105469</v>
      </c>
      <c r="AC22" s="30">
        <v>63.810001373291016</v>
      </c>
      <c r="AD22" s="25">
        <f t="shared" si="9"/>
        <v>699.69</v>
      </c>
      <c r="AE22" s="26">
        <v>523.70000000000005</v>
      </c>
      <c r="AF22" s="26">
        <v>175.99</v>
      </c>
      <c r="AG22" s="26">
        <f t="shared" si="10"/>
        <v>0</v>
      </c>
      <c r="AH22" s="25">
        <f t="shared" si="11"/>
        <v>0</v>
      </c>
      <c r="AI22" s="25">
        <f t="shared" si="12"/>
        <v>0</v>
      </c>
      <c r="AJ22" s="25">
        <f t="shared" si="13"/>
        <v>0</v>
      </c>
      <c r="AK22" s="25">
        <f t="shared" si="14"/>
        <v>0</v>
      </c>
      <c r="BA22" s="34">
        <f t="shared" si="15"/>
        <v>71965252.600097656</v>
      </c>
      <c r="BB22" s="34">
        <f t="shared" si="16"/>
        <v>9089894.8916625977</v>
      </c>
      <c r="BC22" s="34">
        <f t="shared" si="17"/>
        <v>3194328.6687469482</v>
      </c>
    </row>
    <row r="23" spans="2:55">
      <c r="B23" s="2" t="s">
        <v>121</v>
      </c>
      <c r="C23" s="2" t="s">
        <v>122</v>
      </c>
      <c r="D23" s="28" t="s">
        <v>81</v>
      </c>
      <c r="E23" s="28" t="s">
        <v>79</v>
      </c>
      <c r="F23" s="28" t="s">
        <v>68</v>
      </c>
      <c r="G23" s="28" t="s">
        <v>80</v>
      </c>
      <c r="H23" s="2" t="s">
        <v>117</v>
      </c>
      <c r="I23" s="2" t="s">
        <v>117</v>
      </c>
      <c r="J23" s="2" t="s">
        <v>117</v>
      </c>
      <c r="K23" s="2" t="s">
        <v>69</v>
      </c>
      <c r="L23" s="2" t="s">
        <v>128</v>
      </c>
      <c r="M23" s="2" t="s">
        <v>123</v>
      </c>
      <c r="N23" s="2" t="s">
        <v>115</v>
      </c>
      <c r="O23" s="2" t="s">
        <v>117</v>
      </c>
      <c r="P23" s="2" t="s">
        <v>111</v>
      </c>
      <c r="Q23" s="31"/>
      <c r="R23" s="2" t="s">
        <v>117</v>
      </c>
      <c r="S23" s="2" t="s">
        <v>120</v>
      </c>
      <c r="T23" s="20">
        <v>46023</v>
      </c>
      <c r="U23" s="32">
        <v>1</v>
      </c>
      <c r="V23" s="32">
        <v>1</v>
      </c>
      <c r="W23" s="22">
        <f t="shared" si="6"/>
        <v>1</v>
      </c>
      <c r="X23" s="22">
        <v>49048</v>
      </c>
      <c r="Y23" s="23">
        <f t="shared" si="7"/>
        <v>63256.221848419191</v>
      </c>
      <c r="Z23" s="24">
        <f t="shared" si="8"/>
        <v>1289.6799430847168</v>
      </c>
      <c r="AA23" s="30">
        <v>1160.5699462890625</v>
      </c>
      <c r="AB23" s="30">
        <v>34.509998321533203</v>
      </c>
      <c r="AC23" s="30">
        <v>94.599998474121094</v>
      </c>
      <c r="AD23" s="25">
        <f t="shared" si="9"/>
        <v>117.81</v>
      </c>
      <c r="AE23" s="26">
        <v>40.450000000000003</v>
      </c>
      <c r="AF23" s="26">
        <v>77.36</v>
      </c>
      <c r="AG23" s="26">
        <f t="shared" si="10"/>
        <v>0</v>
      </c>
      <c r="AH23" s="25">
        <f t="shared" si="11"/>
        <v>0</v>
      </c>
      <c r="AI23" s="25">
        <f t="shared" si="12"/>
        <v>0</v>
      </c>
      <c r="AJ23" s="25">
        <f t="shared" si="13"/>
        <v>0</v>
      </c>
      <c r="AK23" s="25">
        <f t="shared" si="14"/>
        <v>0</v>
      </c>
      <c r="BA23" s="34">
        <f t="shared" si="15"/>
        <v>56923634.725585938</v>
      </c>
      <c r="BB23" s="34">
        <f t="shared" si="16"/>
        <v>1692646.3976745605</v>
      </c>
      <c r="BC23" s="34">
        <f t="shared" si="17"/>
        <v>4639940.7251586914</v>
      </c>
    </row>
    <row r="24" spans="2:55">
      <c r="B24" s="2" t="s">
        <v>66</v>
      </c>
      <c r="C24" s="2" t="s">
        <v>67</v>
      </c>
      <c r="D24" s="28" t="s">
        <v>81</v>
      </c>
      <c r="E24" s="28" t="s">
        <v>79</v>
      </c>
      <c r="F24" s="28" t="s">
        <v>68</v>
      </c>
      <c r="G24" s="28" t="s">
        <v>80</v>
      </c>
      <c r="H24" s="2" t="s">
        <v>117</v>
      </c>
      <c r="I24" s="2" t="s">
        <v>117</v>
      </c>
      <c r="J24" s="2" t="s">
        <v>117</v>
      </c>
      <c r="K24" s="2" t="s">
        <v>82</v>
      </c>
      <c r="L24" s="2" t="s">
        <v>116</v>
      </c>
      <c r="M24" s="2" t="s">
        <v>92</v>
      </c>
      <c r="N24" s="2" t="s">
        <v>115</v>
      </c>
      <c r="O24" s="2" t="s">
        <v>117</v>
      </c>
      <c r="P24" s="2" t="s">
        <v>110</v>
      </c>
      <c r="Q24" s="31"/>
      <c r="R24" s="2" t="s">
        <v>117</v>
      </c>
      <c r="S24" s="2" t="s">
        <v>107</v>
      </c>
      <c r="T24" s="20">
        <v>46023</v>
      </c>
      <c r="U24" s="32">
        <v>1</v>
      </c>
      <c r="V24" s="32">
        <v>1</v>
      </c>
      <c r="W24" s="22">
        <f t="shared" si="6"/>
        <v>1300</v>
      </c>
      <c r="X24" s="22">
        <v>39790</v>
      </c>
      <c r="Y24" s="23">
        <f t="shared" si="7"/>
        <v>41483.461240348814</v>
      </c>
      <c r="Z24" s="24">
        <f t="shared" si="8"/>
        <v>1042.5599708557129</v>
      </c>
      <c r="AA24" s="30">
        <v>832.469970703125</v>
      </c>
      <c r="AB24" s="30">
        <v>147.63999938964844</v>
      </c>
      <c r="AC24" s="30">
        <v>62.450000762939453</v>
      </c>
      <c r="AD24" s="25">
        <f t="shared" si="9"/>
        <v>1108.93</v>
      </c>
      <c r="AE24" s="26">
        <v>978.12</v>
      </c>
      <c r="AF24" s="26">
        <v>130.81</v>
      </c>
      <c r="AG24" s="26">
        <f t="shared" si="10"/>
        <v>0</v>
      </c>
      <c r="AH24" s="25">
        <f t="shared" si="11"/>
        <v>44.124324700000003</v>
      </c>
      <c r="AI24" s="25">
        <f t="shared" si="12"/>
        <v>38.919394799999999</v>
      </c>
      <c r="AJ24" s="25">
        <f t="shared" si="13"/>
        <v>5.2049299000000007</v>
      </c>
      <c r="AK24" s="25">
        <f t="shared" si="14"/>
        <v>0</v>
      </c>
      <c r="BA24" s="34">
        <f t="shared" si="15"/>
        <v>33123980.134277344</v>
      </c>
      <c r="BB24" s="34">
        <f t="shared" si="16"/>
        <v>5874595.5757141113</v>
      </c>
      <c r="BC24" s="34">
        <f t="shared" si="17"/>
        <v>2484885.5303573608</v>
      </c>
    </row>
    <row r="25" spans="2:55">
      <c r="B25" s="2" t="s">
        <v>66</v>
      </c>
      <c r="C25" s="2" t="s">
        <v>67</v>
      </c>
      <c r="D25" s="28" t="s">
        <v>81</v>
      </c>
      <c r="E25" s="28" t="s">
        <v>79</v>
      </c>
      <c r="F25" s="28" t="s">
        <v>68</v>
      </c>
      <c r="G25" s="28" t="s">
        <v>80</v>
      </c>
      <c r="H25" s="2" t="s">
        <v>117</v>
      </c>
      <c r="I25" s="2" t="s">
        <v>117</v>
      </c>
      <c r="J25" s="2" t="s">
        <v>117</v>
      </c>
      <c r="K25" s="2" t="s">
        <v>82</v>
      </c>
      <c r="L25" s="2" t="s">
        <v>99</v>
      </c>
      <c r="M25" s="2" t="s">
        <v>90</v>
      </c>
      <c r="N25" s="2" t="s">
        <v>115</v>
      </c>
      <c r="O25" s="2" t="s">
        <v>117</v>
      </c>
      <c r="P25" s="2" t="s">
        <v>111</v>
      </c>
      <c r="Q25" s="31"/>
      <c r="R25" s="2" t="s">
        <v>117</v>
      </c>
      <c r="S25" s="2" t="s">
        <v>101</v>
      </c>
      <c r="T25" s="20">
        <v>46023</v>
      </c>
      <c r="U25" s="32">
        <v>1</v>
      </c>
      <c r="V25" s="32">
        <v>1</v>
      </c>
      <c r="W25" s="22">
        <f t="shared" si="6"/>
        <v>1300</v>
      </c>
      <c r="X25" s="22">
        <v>29041</v>
      </c>
      <c r="Y25" s="23">
        <f t="shared" si="7"/>
        <v>36263.496500591275</v>
      </c>
      <c r="Z25" s="24">
        <f t="shared" si="8"/>
        <v>1248.6999931335449</v>
      </c>
      <c r="AA25" s="30">
        <v>1179.1199951171875</v>
      </c>
      <c r="AB25" s="30">
        <v>23.159999847412109</v>
      </c>
      <c r="AC25" s="30">
        <v>46.419998168945313</v>
      </c>
      <c r="AD25" s="25">
        <f t="shared" si="9"/>
        <v>913.97</v>
      </c>
      <c r="AE25" s="26">
        <v>535.62</v>
      </c>
      <c r="AF25" s="26">
        <v>110.54</v>
      </c>
      <c r="AG25" s="26">
        <f t="shared" si="10"/>
        <v>267.81</v>
      </c>
      <c r="AH25" s="25">
        <f t="shared" si="11"/>
        <v>26.542602769999998</v>
      </c>
      <c r="AI25" s="25">
        <f t="shared" si="12"/>
        <v>15.554940419999999</v>
      </c>
      <c r="AJ25" s="25">
        <f t="shared" si="13"/>
        <v>3.2101921400000002</v>
      </c>
      <c r="AK25" s="25">
        <f t="shared" si="14"/>
        <v>7.7774702099999997</v>
      </c>
      <c r="BA25" s="34">
        <f t="shared" si="15"/>
        <v>34242823.778198242</v>
      </c>
      <c r="BB25" s="34">
        <f t="shared" si="16"/>
        <v>672589.55556869507</v>
      </c>
      <c r="BC25" s="34">
        <f t="shared" si="17"/>
        <v>1348083.1668243408</v>
      </c>
    </row>
    <row r="26" spans="2:55">
      <c r="B26" s="2" t="s">
        <v>66</v>
      </c>
      <c r="C26" s="2" t="s">
        <v>67</v>
      </c>
      <c r="D26" s="28" t="s">
        <v>81</v>
      </c>
      <c r="E26" s="28" t="s">
        <v>79</v>
      </c>
      <c r="F26" s="28" t="s">
        <v>68</v>
      </c>
      <c r="G26" s="28" t="s">
        <v>80</v>
      </c>
      <c r="H26" s="2" t="s">
        <v>117</v>
      </c>
      <c r="I26" s="2" t="s">
        <v>117</v>
      </c>
      <c r="J26" s="2" t="s">
        <v>117</v>
      </c>
      <c r="K26" s="2" t="s">
        <v>82</v>
      </c>
      <c r="L26" s="2" t="s">
        <v>99</v>
      </c>
      <c r="M26" s="2" t="s">
        <v>90</v>
      </c>
      <c r="N26" s="2" t="s">
        <v>115</v>
      </c>
      <c r="O26" s="2" t="s">
        <v>117</v>
      </c>
      <c r="P26" s="2" t="s">
        <v>111</v>
      </c>
      <c r="Q26" s="31"/>
      <c r="R26" s="2" t="s">
        <v>117</v>
      </c>
      <c r="S26" s="2" t="s">
        <v>102</v>
      </c>
      <c r="T26" s="20">
        <v>46023</v>
      </c>
      <c r="U26" s="32">
        <v>1</v>
      </c>
      <c r="V26" s="32">
        <v>1</v>
      </c>
      <c r="W26" s="22">
        <f t="shared" si="6"/>
        <v>1300</v>
      </c>
      <c r="X26" s="22">
        <v>26336</v>
      </c>
      <c r="Y26" s="23">
        <f t="shared" si="7"/>
        <v>39019.15414355469</v>
      </c>
      <c r="Z26" s="24">
        <f t="shared" si="8"/>
        <v>1481.5899963378906</v>
      </c>
      <c r="AA26" s="30">
        <v>1192.75</v>
      </c>
      <c r="AB26" s="30">
        <v>213.55999755859375</v>
      </c>
      <c r="AC26" s="30">
        <v>75.279998779296875</v>
      </c>
      <c r="AD26" s="25">
        <f t="shared" si="9"/>
        <v>797.76</v>
      </c>
      <c r="AE26" s="26">
        <v>705.56</v>
      </c>
      <c r="AF26" s="26">
        <v>92.2</v>
      </c>
      <c r="AG26" s="26">
        <f t="shared" si="10"/>
        <v>0</v>
      </c>
      <c r="AH26" s="25">
        <f t="shared" si="11"/>
        <v>21.00980736</v>
      </c>
      <c r="AI26" s="25">
        <f t="shared" si="12"/>
        <v>18.581628160000001</v>
      </c>
      <c r="AJ26" s="25">
        <f t="shared" si="13"/>
        <v>2.4281792000000002</v>
      </c>
      <c r="AK26" s="25">
        <f t="shared" si="14"/>
        <v>0</v>
      </c>
      <c r="BA26" s="34">
        <f t="shared" si="15"/>
        <v>31412264</v>
      </c>
      <c r="BB26" s="34">
        <f t="shared" si="16"/>
        <v>5624316.095703125</v>
      </c>
      <c r="BC26" s="34">
        <f t="shared" si="17"/>
        <v>1982574.0478515625</v>
      </c>
    </row>
    <row r="27" spans="2:55">
      <c r="B27" s="2" t="s">
        <v>66</v>
      </c>
      <c r="C27" s="2" t="s">
        <v>67</v>
      </c>
      <c r="D27" s="2" t="s">
        <v>81</v>
      </c>
      <c r="E27" s="2" t="s">
        <v>79</v>
      </c>
      <c r="F27" s="28" t="s">
        <v>68</v>
      </c>
      <c r="G27" s="28" t="s">
        <v>80</v>
      </c>
      <c r="H27" s="2" t="s">
        <v>117</v>
      </c>
      <c r="I27" s="2" t="s">
        <v>117</v>
      </c>
      <c r="J27" s="2" t="s">
        <v>117</v>
      </c>
      <c r="K27" s="2" t="s">
        <v>82</v>
      </c>
      <c r="L27" s="2" t="s">
        <v>99</v>
      </c>
      <c r="M27" s="2" t="s">
        <v>90</v>
      </c>
      <c r="N27" s="2" t="s">
        <v>115</v>
      </c>
      <c r="O27" s="2" t="s">
        <v>117</v>
      </c>
      <c r="P27" s="2" t="s">
        <v>111</v>
      </c>
      <c r="Q27" s="31"/>
      <c r="R27" s="2" t="s">
        <v>117</v>
      </c>
      <c r="S27" s="2" t="s">
        <v>106</v>
      </c>
      <c r="T27" s="20">
        <v>46023</v>
      </c>
      <c r="U27" s="32">
        <v>1</v>
      </c>
      <c r="V27" s="32">
        <v>1</v>
      </c>
      <c r="W27" s="22">
        <f t="shared" si="6"/>
        <v>1300</v>
      </c>
      <c r="X27" s="22">
        <v>16651</v>
      </c>
      <c r="Y27" s="23">
        <f t="shared" si="7"/>
        <v>21540.233092206479</v>
      </c>
      <c r="Z27" s="24">
        <f t="shared" si="8"/>
        <v>1293.6299977302551</v>
      </c>
      <c r="AA27" s="30">
        <v>1044.5</v>
      </c>
      <c r="AB27" s="30">
        <v>245.05999755859375</v>
      </c>
      <c r="AC27" s="30">
        <v>4.070000171661377</v>
      </c>
      <c r="AD27" s="25">
        <f t="shared" si="9"/>
        <v>928.03</v>
      </c>
      <c r="AE27" s="26">
        <v>919.67</v>
      </c>
      <c r="AF27" s="26">
        <v>8.36</v>
      </c>
      <c r="AG27" s="26">
        <f t="shared" si="10"/>
        <v>0</v>
      </c>
      <c r="AH27" s="25">
        <f t="shared" si="11"/>
        <v>15.452627529999999</v>
      </c>
      <c r="AI27" s="25">
        <f t="shared" si="12"/>
        <v>15.31342517</v>
      </c>
      <c r="AJ27" s="25">
        <f t="shared" si="13"/>
        <v>0.13920236</v>
      </c>
      <c r="AK27" s="25">
        <f t="shared" si="14"/>
        <v>0</v>
      </c>
      <c r="BA27" s="34">
        <f t="shared" si="15"/>
        <v>17391969.5</v>
      </c>
      <c r="BB27" s="34">
        <f t="shared" si="16"/>
        <v>4080494.0193481445</v>
      </c>
      <c r="BC27" s="34">
        <f t="shared" si="17"/>
        <v>67769.572858333588</v>
      </c>
    </row>
    <row r="28" spans="2:55">
      <c r="B28" s="2" t="s">
        <v>66</v>
      </c>
      <c r="C28" s="2" t="s">
        <v>67</v>
      </c>
      <c r="D28" s="2" t="s">
        <v>81</v>
      </c>
      <c r="E28" s="2" t="s">
        <v>79</v>
      </c>
      <c r="F28" s="28" t="s">
        <v>68</v>
      </c>
      <c r="G28" s="28" t="s">
        <v>80</v>
      </c>
      <c r="H28" s="2" t="s">
        <v>117</v>
      </c>
      <c r="I28" s="2" t="s">
        <v>117</v>
      </c>
      <c r="J28" s="2" t="s">
        <v>117</v>
      </c>
      <c r="K28" s="2" t="s">
        <v>82</v>
      </c>
      <c r="L28" s="2" t="s">
        <v>99</v>
      </c>
      <c r="M28" s="2" t="s">
        <v>90</v>
      </c>
      <c r="N28" s="2" t="s">
        <v>115</v>
      </c>
      <c r="O28" s="2" t="s">
        <v>117</v>
      </c>
      <c r="P28" s="2" t="s">
        <v>111</v>
      </c>
      <c r="Q28" s="31"/>
      <c r="R28" s="2" t="s">
        <v>117</v>
      </c>
      <c r="S28" s="2" t="s">
        <v>105</v>
      </c>
      <c r="T28" s="20">
        <v>46023</v>
      </c>
      <c r="U28" s="32">
        <v>1</v>
      </c>
      <c r="V28" s="32">
        <v>1</v>
      </c>
      <c r="W28" s="22">
        <f t="shared" si="6"/>
        <v>1300</v>
      </c>
      <c r="X28" s="22">
        <v>45560</v>
      </c>
      <c r="Y28" s="23">
        <f t="shared" si="7"/>
        <v>65087.018407096861</v>
      </c>
      <c r="Z28" s="24">
        <f t="shared" si="8"/>
        <v>1428.6000528335571</v>
      </c>
      <c r="AA28" s="30">
        <v>1196.9300537109375</v>
      </c>
      <c r="AB28" s="30">
        <v>216.02999877929688</v>
      </c>
      <c r="AC28" s="30">
        <v>15.640000343322754</v>
      </c>
      <c r="AD28" s="25">
        <f t="shared" si="9"/>
        <v>723.42</v>
      </c>
      <c r="AE28" s="26">
        <v>685.31</v>
      </c>
      <c r="AF28" s="26">
        <v>38.11</v>
      </c>
      <c r="AG28" s="26">
        <f t="shared" si="10"/>
        <v>0</v>
      </c>
      <c r="AH28" s="25">
        <f t="shared" si="11"/>
        <v>32.959015199999996</v>
      </c>
      <c r="AI28" s="25">
        <f t="shared" si="12"/>
        <v>31.222723599999998</v>
      </c>
      <c r="AJ28" s="25">
        <f t="shared" si="13"/>
        <v>1.7362915999999999</v>
      </c>
      <c r="AK28" s="25">
        <f t="shared" si="14"/>
        <v>0</v>
      </c>
      <c r="BA28" s="34">
        <f t="shared" si="15"/>
        <v>54532133.247070313</v>
      </c>
      <c r="BB28" s="34">
        <f t="shared" si="16"/>
        <v>9842326.7443847656</v>
      </c>
      <c r="BC28" s="34">
        <f t="shared" si="17"/>
        <v>712558.41564178467</v>
      </c>
    </row>
    <row r="29" spans="2:55">
      <c r="B29" s="2" t="s">
        <v>66</v>
      </c>
      <c r="C29" s="2" t="s">
        <v>67</v>
      </c>
      <c r="D29" s="2" t="s">
        <v>81</v>
      </c>
      <c r="E29" s="2" t="s">
        <v>79</v>
      </c>
      <c r="F29" s="28" t="s">
        <v>68</v>
      </c>
      <c r="G29" s="28" t="s">
        <v>80</v>
      </c>
      <c r="H29" s="2" t="s">
        <v>117</v>
      </c>
      <c r="I29" s="2" t="s">
        <v>117</v>
      </c>
      <c r="J29" s="2" t="s">
        <v>117</v>
      </c>
      <c r="K29" s="2" t="s">
        <v>82</v>
      </c>
      <c r="L29" s="2" t="s">
        <v>99</v>
      </c>
      <c r="M29" s="2" t="s">
        <v>90</v>
      </c>
      <c r="N29" s="2" t="s">
        <v>115</v>
      </c>
      <c r="O29" s="2" t="s">
        <v>117</v>
      </c>
      <c r="P29" s="2" t="s">
        <v>111</v>
      </c>
      <c r="Q29" s="31"/>
      <c r="R29" s="2" t="s">
        <v>117</v>
      </c>
      <c r="S29" s="2" t="s">
        <v>107</v>
      </c>
      <c r="T29" s="20">
        <v>46023</v>
      </c>
      <c r="U29" s="32">
        <v>1</v>
      </c>
      <c r="V29" s="32">
        <v>1</v>
      </c>
      <c r="W29" s="22">
        <f t="shared" si="6"/>
        <v>1300</v>
      </c>
      <c r="X29" s="22">
        <v>16885</v>
      </c>
      <c r="Y29" s="23">
        <f t="shared" si="7"/>
        <v>17462.635641307832</v>
      </c>
      <c r="Z29" s="24">
        <f t="shared" si="8"/>
        <v>1034.2099876403809</v>
      </c>
      <c r="AA29" s="30">
        <v>916.489990234375</v>
      </c>
      <c r="AB29" s="30">
        <v>70.459999084472656</v>
      </c>
      <c r="AC29" s="30">
        <v>47.259998321533203</v>
      </c>
      <c r="AD29" s="25">
        <f t="shared" si="9"/>
        <v>1367.15</v>
      </c>
      <c r="AE29" s="26">
        <v>1332.49</v>
      </c>
      <c r="AF29" s="26">
        <v>34.659999999999997</v>
      </c>
      <c r="AG29" s="26">
        <f t="shared" si="10"/>
        <v>0</v>
      </c>
      <c r="AH29" s="25">
        <f t="shared" si="11"/>
        <v>23.08432775</v>
      </c>
      <c r="AI29" s="25">
        <f t="shared" si="12"/>
        <v>22.499093649999999</v>
      </c>
      <c r="AJ29" s="25">
        <f t="shared" si="13"/>
        <v>0.58523409999999998</v>
      </c>
      <c r="AK29" s="25">
        <f t="shared" si="14"/>
        <v>0</v>
      </c>
      <c r="BA29" s="34">
        <f t="shared" si="15"/>
        <v>15474933.485107422</v>
      </c>
      <c r="BB29" s="34">
        <f t="shared" si="16"/>
        <v>1189717.0845413208</v>
      </c>
      <c r="BC29" s="34">
        <f t="shared" si="17"/>
        <v>797985.07165908813</v>
      </c>
    </row>
    <row r="30" spans="2:55">
      <c r="B30" s="2" t="s">
        <v>66</v>
      </c>
      <c r="C30" s="2" t="s">
        <v>67</v>
      </c>
      <c r="D30" s="2" t="s">
        <v>81</v>
      </c>
      <c r="E30" s="2" t="s">
        <v>79</v>
      </c>
      <c r="F30" s="28" t="s">
        <v>68</v>
      </c>
      <c r="G30" s="28" t="s">
        <v>80</v>
      </c>
      <c r="H30" s="2" t="s">
        <v>117</v>
      </c>
      <c r="I30" s="2" t="s">
        <v>117</v>
      </c>
      <c r="J30" s="2" t="s">
        <v>117</v>
      </c>
      <c r="K30" s="2" t="s">
        <v>82</v>
      </c>
      <c r="L30" s="2" t="s">
        <v>99</v>
      </c>
      <c r="M30" s="2" t="s">
        <v>90</v>
      </c>
      <c r="N30" s="2" t="s">
        <v>115</v>
      </c>
      <c r="O30" s="2" t="s">
        <v>117</v>
      </c>
      <c r="P30" s="2" t="s">
        <v>111</v>
      </c>
      <c r="Q30" s="31"/>
      <c r="R30" s="2" t="s">
        <v>117</v>
      </c>
      <c r="S30" s="2" t="s">
        <v>109</v>
      </c>
      <c r="T30" s="20">
        <v>46023</v>
      </c>
      <c r="U30" s="32">
        <v>1</v>
      </c>
      <c r="V30" s="32">
        <v>1</v>
      </c>
      <c r="W30" s="22">
        <f t="shared" si="6"/>
        <v>1300</v>
      </c>
      <c r="X30" s="22">
        <v>2859</v>
      </c>
      <c r="Y30" s="23">
        <f t="shared" si="7"/>
        <v>3358.1813629188537</v>
      </c>
      <c r="Z30" s="24">
        <f t="shared" si="8"/>
        <v>1174.5999870300293</v>
      </c>
      <c r="AA30" s="30">
        <v>986.04998779296875</v>
      </c>
      <c r="AB30" s="30">
        <v>146.38999938964844</v>
      </c>
      <c r="AC30" s="30">
        <v>42.159999847412109</v>
      </c>
      <c r="AD30" s="25">
        <f t="shared" si="9"/>
        <v>1072.3600000000001</v>
      </c>
      <c r="AE30" s="26">
        <v>1014.1</v>
      </c>
      <c r="AF30" s="26">
        <v>58.26</v>
      </c>
      <c r="AG30" s="26">
        <f t="shared" si="10"/>
        <v>0</v>
      </c>
      <c r="AH30" s="25">
        <f t="shared" si="11"/>
        <v>3.0658772400000003</v>
      </c>
      <c r="AI30" s="25">
        <f t="shared" si="12"/>
        <v>2.8993118999999998</v>
      </c>
      <c r="AJ30" s="25">
        <f t="shared" si="13"/>
        <v>0.16656534000000001</v>
      </c>
      <c r="AK30" s="25">
        <f t="shared" si="14"/>
        <v>0</v>
      </c>
      <c r="BA30" s="34">
        <f t="shared" si="15"/>
        <v>2819116.9151000977</v>
      </c>
      <c r="BB30" s="34">
        <f t="shared" si="16"/>
        <v>418529.00825500488</v>
      </c>
      <c r="BC30" s="34">
        <f t="shared" si="17"/>
        <v>120535.43956375122</v>
      </c>
    </row>
    <row r="31" spans="2:55">
      <c r="B31" s="2" t="s">
        <v>66</v>
      </c>
      <c r="C31" s="2" t="s">
        <v>67</v>
      </c>
      <c r="D31" s="2" t="s">
        <v>81</v>
      </c>
      <c r="E31" s="2" t="s">
        <v>79</v>
      </c>
      <c r="F31" s="28" t="s">
        <v>68</v>
      </c>
      <c r="G31" s="28" t="s">
        <v>80</v>
      </c>
      <c r="H31" s="2" t="s">
        <v>117</v>
      </c>
      <c r="I31" s="2" t="s">
        <v>117</v>
      </c>
      <c r="J31" s="2" t="s">
        <v>117</v>
      </c>
      <c r="K31" s="2" t="s">
        <v>82</v>
      </c>
      <c r="L31" s="2" t="s">
        <v>99</v>
      </c>
      <c r="M31" s="2" t="s">
        <v>90</v>
      </c>
      <c r="N31" s="2" t="s">
        <v>115</v>
      </c>
      <c r="O31" s="2" t="s">
        <v>117</v>
      </c>
      <c r="P31" s="2" t="s">
        <v>111</v>
      </c>
      <c r="Q31" s="31"/>
      <c r="R31" s="2" t="s">
        <v>117</v>
      </c>
      <c r="S31" s="2" t="s">
        <v>108</v>
      </c>
      <c r="T31" s="20">
        <v>46023</v>
      </c>
      <c r="U31" s="32">
        <v>1</v>
      </c>
      <c r="V31" s="32">
        <v>1</v>
      </c>
      <c r="W31" s="22">
        <f t="shared" si="6"/>
        <v>1300</v>
      </c>
      <c r="X31" s="22">
        <v>16778</v>
      </c>
      <c r="Y31" s="23">
        <f t="shared" si="7"/>
        <v>22528.826803817748</v>
      </c>
      <c r="Z31" s="24">
        <f t="shared" si="8"/>
        <v>1342.7599716186523</v>
      </c>
      <c r="AA31" s="30">
        <v>1017.3599853515625</v>
      </c>
      <c r="AB31" s="30">
        <v>299.32998657226563</v>
      </c>
      <c r="AC31" s="30">
        <v>26.069999694824219</v>
      </c>
      <c r="AD31" s="25">
        <f t="shared" si="9"/>
        <v>1237.04</v>
      </c>
      <c r="AE31" s="26">
        <v>1160.9100000000001</v>
      </c>
      <c r="AF31" s="26">
        <v>76.13</v>
      </c>
      <c r="AG31" s="26">
        <f t="shared" si="10"/>
        <v>0</v>
      </c>
      <c r="AH31" s="25">
        <f t="shared" si="11"/>
        <v>20.75505712</v>
      </c>
      <c r="AI31" s="25">
        <f t="shared" si="12"/>
        <v>19.47774798</v>
      </c>
      <c r="AJ31" s="25">
        <f t="shared" si="13"/>
        <v>1.2773091399999998</v>
      </c>
      <c r="AK31" s="25">
        <f t="shared" si="14"/>
        <v>0</v>
      </c>
      <c r="BA31" s="34">
        <f t="shared" si="15"/>
        <v>17069265.834228516</v>
      </c>
      <c r="BB31" s="34">
        <f t="shared" si="16"/>
        <v>5022158.5147094727</v>
      </c>
      <c r="BC31" s="34">
        <f t="shared" si="17"/>
        <v>437402.45487976074</v>
      </c>
    </row>
    <row r="32" spans="2:55">
      <c r="B32" s="2" t="s">
        <v>66</v>
      </c>
      <c r="C32" s="2" t="s">
        <v>67</v>
      </c>
      <c r="D32" s="2" t="s">
        <v>81</v>
      </c>
      <c r="E32" s="2" t="s">
        <v>79</v>
      </c>
      <c r="F32" s="28" t="s">
        <v>68</v>
      </c>
      <c r="G32" s="28" t="s">
        <v>80</v>
      </c>
      <c r="H32" s="2" t="s">
        <v>117</v>
      </c>
      <c r="I32" s="2" t="s">
        <v>117</v>
      </c>
      <c r="J32" s="2" t="s">
        <v>117</v>
      </c>
      <c r="K32" s="2" t="s">
        <v>82</v>
      </c>
      <c r="L32" s="2" t="s">
        <v>99</v>
      </c>
      <c r="M32" s="2" t="s">
        <v>90</v>
      </c>
      <c r="N32" s="2" t="s">
        <v>115</v>
      </c>
      <c r="O32" s="2" t="s">
        <v>117</v>
      </c>
      <c r="P32" s="2" t="s">
        <v>111</v>
      </c>
      <c r="Q32" s="31"/>
      <c r="R32" s="2" t="s">
        <v>117</v>
      </c>
      <c r="S32" s="2" t="s">
        <v>103</v>
      </c>
      <c r="T32" s="20">
        <v>46023</v>
      </c>
      <c r="U32" s="32">
        <v>1</v>
      </c>
      <c r="V32" s="32">
        <v>1</v>
      </c>
      <c r="W32" s="22">
        <f t="shared" si="6"/>
        <v>1300</v>
      </c>
      <c r="X32" s="22">
        <v>48159</v>
      </c>
      <c r="Y32" s="23">
        <f t="shared" si="7"/>
        <v>46863.521732854664</v>
      </c>
      <c r="Z32" s="24">
        <f t="shared" si="8"/>
        <v>973.09997576475143</v>
      </c>
      <c r="AA32" s="30">
        <v>963.5999755859375</v>
      </c>
      <c r="AB32" s="30">
        <v>0.69999998807907104</v>
      </c>
      <c r="AC32" s="30">
        <v>8.8000001907348633</v>
      </c>
      <c r="AD32" s="25">
        <f t="shared" si="9"/>
        <v>802.53</v>
      </c>
      <c r="AE32" s="26">
        <v>685.53</v>
      </c>
      <c r="AF32" s="26">
        <v>117</v>
      </c>
      <c r="AG32" s="26">
        <f t="shared" si="10"/>
        <v>0</v>
      </c>
      <c r="AH32" s="25">
        <f t="shared" si="11"/>
        <v>38.649042269999995</v>
      </c>
      <c r="AI32" s="25">
        <f t="shared" si="12"/>
        <v>33.014439269999997</v>
      </c>
      <c r="AJ32" s="25">
        <f t="shared" si="13"/>
        <v>5.6346030000000003</v>
      </c>
      <c r="AK32" s="25">
        <f t="shared" si="14"/>
        <v>0</v>
      </c>
      <c r="BA32" s="34">
        <f t="shared" si="15"/>
        <v>46406011.224243164</v>
      </c>
      <c r="BB32" s="34">
        <f t="shared" si="16"/>
        <v>33711.299425899982</v>
      </c>
      <c r="BC32" s="34">
        <f t="shared" si="17"/>
        <v>423799.20918560028</v>
      </c>
    </row>
    <row r="33" spans="2:55">
      <c r="B33" s="2" t="s">
        <v>66</v>
      </c>
      <c r="C33" s="2" t="s">
        <v>67</v>
      </c>
      <c r="D33" s="2" t="s">
        <v>81</v>
      </c>
      <c r="E33" s="2" t="s">
        <v>79</v>
      </c>
      <c r="F33" s="2" t="s">
        <v>68</v>
      </c>
      <c r="G33" s="28" t="s">
        <v>80</v>
      </c>
      <c r="H33" s="2" t="s">
        <v>117</v>
      </c>
      <c r="I33" s="2" t="s">
        <v>117</v>
      </c>
      <c r="J33" s="2" t="s">
        <v>117</v>
      </c>
      <c r="K33" s="2" t="s">
        <v>82</v>
      </c>
      <c r="L33" s="2" t="s">
        <v>99</v>
      </c>
      <c r="M33" s="2" t="s">
        <v>90</v>
      </c>
      <c r="N33" s="2" t="s">
        <v>115</v>
      </c>
      <c r="O33" s="2" t="s">
        <v>117</v>
      </c>
      <c r="P33" s="2" t="s">
        <v>111</v>
      </c>
      <c r="Q33" s="31"/>
      <c r="R33" s="2" t="s">
        <v>117</v>
      </c>
      <c r="S33" s="2" t="s">
        <v>104</v>
      </c>
      <c r="T33" s="20">
        <v>46023</v>
      </c>
      <c r="U33" s="32">
        <v>1</v>
      </c>
      <c r="V33" s="32">
        <v>1</v>
      </c>
      <c r="W33" s="22">
        <f t="shared" si="6"/>
        <v>1300</v>
      </c>
      <c r="X33" s="22">
        <v>10397</v>
      </c>
      <c r="Y33" s="23">
        <f t="shared" si="7"/>
        <v>13037.52583497715</v>
      </c>
      <c r="Z33" s="24">
        <f t="shared" si="8"/>
        <v>1253.9699754714966</v>
      </c>
      <c r="AA33" s="30">
        <v>1231.8499755859375</v>
      </c>
      <c r="AB33" s="30">
        <v>11.289999961853027</v>
      </c>
      <c r="AC33" s="30">
        <v>10.829999923706055</v>
      </c>
      <c r="AD33" s="25">
        <f t="shared" si="9"/>
        <v>854.96</v>
      </c>
      <c r="AE33" s="26">
        <v>788.71</v>
      </c>
      <c r="AF33" s="26">
        <v>66.25</v>
      </c>
      <c r="AG33" s="26">
        <f t="shared" si="10"/>
        <v>0</v>
      </c>
      <c r="AH33" s="25">
        <f t="shared" si="11"/>
        <v>8.8890191200000004</v>
      </c>
      <c r="AI33" s="25">
        <f t="shared" si="12"/>
        <v>8.2002178699999995</v>
      </c>
      <c r="AJ33" s="25">
        <f t="shared" si="13"/>
        <v>0.68880125000000003</v>
      </c>
      <c r="AK33" s="25">
        <f t="shared" si="14"/>
        <v>0</v>
      </c>
      <c r="BA33" s="34">
        <f t="shared" si="15"/>
        <v>12807544.196166992</v>
      </c>
      <c r="BB33" s="34">
        <f t="shared" si="16"/>
        <v>117382.12960338593</v>
      </c>
      <c r="BC33" s="34">
        <f t="shared" si="17"/>
        <v>112599.50920677185</v>
      </c>
    </row>
    <row r="34" spans="2:55">
      <c r="B34" s="2" t="s">
        <v>66</v>
      </c>
      <c r="C34" s="2" t="s">
        <v>67</v>
      </c>
      <c r="D34" s="2" t="s">
        <v>81</v>
      </c>
      <c r="E34" s="2" t="s">
        <v>79</v>
      </c>
      <c r="F34" s="2" t="s">
        <v>68</v>
      </c>
      <c r="G34" s="28" t="s">
        <v>80</v>
      </c>
      <c r="H34" s="2" t="s">
        <v>117</v>
      </c>
      <c r="I34" s="2" t="s">
        <v>117</v>
      </c>
      <c r="J34" s="2" t="s">
        <v>117</v>
      </c>
      <c r="K34" s="2" t="s">
        <v>82</v>
      </c>
      <c r="L34" s="2" t="s">
        <v>99</v>
      </c>
      <c r="M34" s="2" t="s">
        <v>91</v>
      </c>
      <c r="N34" s="2" t="s">
        <v>115</v>
      </c>
      <c r="O34" s="2" t="s">
        <v>117</v>
      </c>
      <c r="P34" s="2" t="s">
        <v>111</v>
      </c>
      <c r="Q34" s="31"/>
      <c r="R34" s="2" t="s">
        <v>117</v>
      </c>
      <c r="S34" s="2" t="s">
        <v>105</v>
      </c>
      <c r="T34" s="20">
        <v>46023</v>
      </c>
      <c r="U34" s="32">
        <v>1</v>
      </c>
      <c r="V34" s="32">
        <v>1</v>
      </c>
      <c r="W34" s="22">
        <f t="shared" si="6"/>
        <v>1300</v>
      </c>
      <c r="X34" s="22">
        <v>918</v>
      </c>
      <c r="Y34" s="23">
        <f t="shared" si="7"/>
        <v>1505.6209507942199</v>
      </c>
      <c r="Z34" s="24">
        <f t="shared" si="8"/>
        <v>1640.1099681854248</v>
      </c>
      <c r="AA34" s="30">
        <v>1395.5999755859375</v>
      </c>
      <c r="AB34" s="30">
        <v>229.67999267578125</v>
      </c>
      <c r="AC34" s="30">
        <v>14.829999923706055</v>
      </c>
      <c r="AD34" s="25">
        <f t="shared" si="9"/>
        <v>1422.2900000000002</v>
      </c>
      <c r="AE34" s="26">
        <v>1385.91</v>
      </c>
      <c r="AF34" s="26">
        <v>36.380000000000003</v>
      </c>
      <c r="AG34" s="26">
        <f t="shared" si="10"/>
        <v>0</v>
      </c>
      <c r="AH34" s="25">
        <f t="shared" si="11"/>
        <v>1.3056622200000001</v>
      </c>
      <c r="AI34" s="25">
        <f t="shared" si="12"/>
        <v>1.2722653800000001</v>
      </c>
      <c r="AJ34" s="25">
        <f t="shared" si="13"/>
        <v>3.3396840000000004E-2</v>
      </c>
      <c r="AK34" s="25">
        <f t="shared" si="14"/>
        <v>0</v>
      </c>
      <c r="BA34" s="34">
        <f t="shared" si="15"/>
        <v>1281160.7775878906</v>
      </c>
      <c r="BB34" s="34">
        <f t="shared" si="16"/>
        <v>210846.23327636719</v>
      </c>
      <c r="BC34" s="34">
        <f t="shared" si="17"/>
        <v>13613.939929962158</v>
      </c>
    </row>
    <row r="35" spans="2:55">
      <c r="B35" s="2" t="s">
        <v>66</v>
      </c>
      <c r="C35" s="2" t="s">
        <v>67</v>
      </c>
      <c r="D35" s="2" t="s">
        <v>81</v>
      </c>
      <c r="E35" s="2" t="s">
        <v>79</v>
      </c>
      <c r="F35" s="2" t="s">
        <v>68</v>
      </c>
      <c r="G35" s="28" t="s">
        <v>80</v>
      </c>
      <c r="H35" s="2" t="s">
        <v>117</v>
      </c>
      <c r="I35" s="2" t="s">
        <v>117</v>
      </c>
      <c r="J35" s="2" t="s">
        <v>117</v>
      </c>
      <c r="K35" s="2" t="s">
        <v>82</v>
      </c>
      <c r="L35" s="2" t="s">
        <v>99</v>
      </c>
      <c r="M35" s="2" t="s">
        <v>91</v>
      </c>
      <c r="N35" s="2" t="s">
        <v>115</v>
      </c>
      <c r="O35" s="2" t="s">
        <v>117</v>
      </c>
      <c r="P35" s="2" t="s">
        <v>111</v>
      </c>
      <c r="Q35" s="31"/>
      <c r="R35" s="2" t="s">
        <v>117</v>
      </c>
      <c r="S35" s="2" t="s">
        <v>107</v>
      </c>
      <c r="T35" s="20">
        <v>46023</v>
      </c>
      <c r="U35" s="32">
        <v>1</v>
      </c>
      <c r="V35" s="32">
        <v>1</v>
      </c>
      <c r="W35" s="22">
        <f t="shared" si="6"/>
        <v>1300</v>
      </c>
      <c r="X35" s="22">
        <v>23840</v>
      </c>
      <c r="Y35" s="23">
        <f t="shared" si="7"/>
        <v>18241.414396362306</v>
      </c>
      <c r="Z35" s="24">
        <f t="shared" si="8"/>
        <v>765.15999984741211</v>
      </c>
      <c r="AA35" s="30">
        <v>707.25</v>
      </c>
      <c r="AB35" s="30">
        <v>15.680000305175781</v>
      </c>
      <c r="AC35" s="30">
        <v>42.229999542236328</v>
      </c>
      <c r="AD35" s="25">
        <f t="shared" si="9"/>
        <v>1035.1600000000001</v>
      </c>
      <c r="AE35" s="26">
        <v>969.46</v>
      </c>
      <c r="AF35" s="26">
        <v>65.7</v>
      </c>
      <c r="AG35" s="26">
        <f t="shared" si="10"/>
        <v>0</v>
      </c>
      <c r="AH35" s="25">
        <f t="shared" si="11"/>
        <v>24.678214400000002</v>
      </c>
      <c r="AI35" s="25">
        <f t="shared" si="12"/>
        <v>23.111926400000002</v>
      </c>
      <c r="AJ35" s="25">
        <f t="shared" si="13"/>
        <v>1.5662879999999999</v>
      </c>
      <c r="AK35" s="25">
        <f t="shared" si="14"/>
        <v>0</v>
      </c>
      <c r="BA35" s="34">
        <f t="shared" si="15"/>
        <v>16860840</v>
      </c>
      <c r="BB35" s="34">
        <f t="shared" si="16"/>
        <v>373811.20727539063</v>
      </c>
      <c r="BC35" s="34">
        <f t="shared" si="17"/>
        <v>1006763.1890869141</v>
      </c>
    </row>
    <row r="36" spans="2:55">
      <c r="B36" s="2" t="s">
        <v>66</v>
      </c>
      <c r="C36" s="2" t="s">
        <v>67</v>
      </c>
      <c r="D36" s="2" t="s">
        <v>81</v>
      </c>
      <c r="E36" s="2" t="s">
        <v>79</v>
      </c>
      <c r="F36" s="2" t="s">
        <v>68</v>
      </c>
      <c r="G36" s="28" t="s">
        <v>80</v>
      </c>
      <c r="H36" s="2" t="s">
        <v>117</v>
      </c>
      <c r="I36" s="2" t="s">
        <v>117</v>
      </c>
      <c r="J36" s="2" t="s">
        <v>117</v>
      </c>
      <c r="K36" s="2" t="s">
        <v>82</v>
      </c>
      <c r="L36" s="2" t="s">
        <v>99</v>
      </c>
      <c r="M36" s="2" t="s">
        <v>91</v>
      </c>
      <c r="N36" s="2" t="s">
        <v>115</v>
      </c>
      <c r="O36" s="2" t="s">
        <v>117</v>
      </c>
      <c r="P36" s="2" t="s">
        <v>111</v>
      </c>
      <c r="Q36" s="31"/>
      <c r="R36" s="2" t="s">
        <v>117</v>
      </c>
      <c r="S36" s="2" t="s">
        <v>103</v>
      </c>
      <c r="T36" s="20">
        <v>46023</v>
      </c>
      <c r="U36" s="32">
        <v>1</v>
      </c>
      <c r="V36" s="32">
        <v>1</v>
      </c>
      <c r="W36" s="22">
        <f t="shared" si="6"/>
        <v>1300</v>
      </c>
      <c r="X36" s="22">
        <v>25126</v>
      </c>
      <c r="Y36" s="23">
        <f t="shared" si="7"/>
        <v>34024.623101837162</v>
      </c>
      <c r="Z36" s="24">
        <f t="shared" si="8"/>
        <v>1354.1599578857422</v>
      </c>
      <c r="AA36" s="30">
        <v>1210.5799560546875</v>
      </c>
      <c r="AB36" s="30">
        <v>88.760002136230469</v>
      </c>
      <c r="AC36" s="30">
        <v>54.819999694824219</v>
      </c>
      <c r="AD36" s="25">
        <f t="shared" si="9"/>
        <v>854.06000000000006</v>
      </c>
      <c r="AE36" s="26">
        <v>800.83</v>
      </c>
      <c r="AF36" s="26">
        <v>53.23</v>
      </c>
      <c r="AG36" s="26">
        <f t="shared" si="10"/>
        <v>0</v>
      </c>
      <c r="AH36" s="25">
        <f t="shared" si="11"/>
        <v>21.459111560000004</v>
      </c>
      <c r="AI36" s="25">
        <f t="shared" si="12"/>
        <v>20.121654580000001</v>
      </c>
      <c r="AJ36" s="25">
        <f t="shared" si="13"/>
        <v>1.33745698</v>
      </c>
      <c r="AK36" s="25">
        <f t="shared" si="14"/>
        <v>0</v>
      </c>
      <c r="BA36" s="34">
        <f t="shared" si="15"/>
        <v>30417031.975830078</v>
      </c>
      <c r="BB36" s="34">
        <f t="shared" si="16"/>
        <v>2230183.8136749268</v>
      </c>
      <c r="BC36" s="34">
        <f t="shared" si="17"/>
        <v>1377407.3123321533</v>
      </c>
    </row>
    <row r="37" spans="2:55">
      <c r="B37" s="2" t="s">
        <v>66</v>
      </c>
      <c r="C37" s="2" t="s">
        <v>67</v>
      </c>
      <c r="D37" s="2" t="s">
        <v>81</v>
      </c>
      <c r="E37" s="2" t="s">
        <v>79</v>
      </c>
      <c r="F37" s="2" t="s">
        <v>68</v>
      </c>
      <c r="G37" s="28" t="s">
        <v>80</v>
      </c>
      <c r="H37" s="2" t="s">
        <v>117</v>
      </c>
      <c r="I37" s="2" t="s">
        <v>117</v>
      </c>
      <c r="J37" s="2" t="s">
        <v>117</v>
      </c>
      <c r="K37" s="2" t="s">
        <v>82</v>
      </c>
      <c r="L37" s="2" t="s">
        <v>99</v>
      </c>
      <c r="M37" s="2" t="s">
        <v>91</v>
      </c>
      <c r="N37" s="2" t="s">
        <v>115</v>
      </c>
      <c r="O37" s="2" t="s">
        <v>117</v>
      </c>
      <c r="P37" s="2" t="s">
        <v>111</v>
      </c>
      <c r="Q37" s="31"/>
      <c r="R37" s="2" t="s">
        <v>117</v>
      </c>
      <c r="S37" s="2" t="s">
        <v>104</v>
      </c>
      <c r="T37" s="20">
        <v>46023</v>
      </c>
      <c r="U37" s="32">
        <v>1</v>
      </c>
      <c r="V37" s="32">
        <v>1</v>
      </c>
      <c r="W37" s="22">
        <f t="shared" si="6"/>
        <v>1300</v>
      </c>
      <c r="X37" s="22">
        <v>40239</v>
      </c>
      <c r="Y37" s="23">
        <f t="shared" si="7"/>
        <v>61809.923173713687</v>
      </c>
      <c r="Z37" s="24">
        <f t="shared" si="8"/>
        <v>1536.0700607299805</v>
      </c>
      <c r="AA37" s="30">
        <v>1453.31005859375</v>
      </c>
      <c r="AB37" s="30">
        <v>1.5</v>
      </c>
      <c r="AC37" s="30">
        <v>81.260002136230469</v>
      </c>
      <c r="AD37" s="25">
        <f t="shared" si="9"/>
        <v>789.97</v>
      </c>
      <c r="AE37" s="26">
        <v>729.11</v>
      </c>
      <c r="AF37" s="26">
        <v>60.86</v>
      </c>
      <c r="AG37" s="26">
        <f t="shared" si="10"/>
        <v>0</v>
      </c>
      <c r="AH37" s="25">
        <f t="shared" si="11"/>
        <v>31.787602830000001</v>
      </c>
      <c r="AI37" s="25">
        <f t="shared" si="12"/>
        <v>29.33865729</v>
      </c>
      <c r="AJ37" s="25">
        <f t="shared" si="13"/>
        <v>2.44894554</v>
      </c>
      <c r="AK37" s="25">
        <f t="shared" si="14"/>
        <v>0</v>
      </c>
      <c r="BA37" s="34">
        <f t="shared" si="15"/>
        <v>58479743.447753906</v>
      </c>
      <c r="BB37" s="34">
        <f t="shared" si="16"/>
        <v>60358.5</v>
      </c>
      <c r="BC37" s="34">
        <f t="shared" si="17"/>
        <v>3269821.2259597778</v>
      </c>
    </row>
    <row r="38" spans="2:55">
      <c r="B38" s="2" t="s">
        <v>66</v>
      </c>
      <c r="C38" s="2" t="s">
        <v>67</v>
      </c>
      <c r="D38" s="2" t="s">
        <v>81</v>
      </c>
      <c r="E38" s="2" t="s">
        <v>79</v>
      </c>
      <c r="F38" s="2" t="s">
        <v>68</v>
      </c>
      <c r="G38" s="28" t="s">
        <v>80</v>
      </c>
      <c r="H38" s="2" t="s">
        <v>117</v>
      </c>
      <c r="I38" s="2" t="s">
        <v>117</v>
      </c>
      <c r="J38" s="2" t="s">
        <v>117</v>
      </c>
      <c r="K38" s="2" t="s">
        <v>69</v>
      </c>
      <c r="L38" s="2" t="s">
        <v>97</v>
      </c>
      <c r="M38" s="2" t="s">
        <v>88</v>
      </c>
      <c r="N38" s="2" t="s">
        <v>118</v>
      </c>
      <c r="O38" s="2" t="s">
        <v>117</v>
      </c>
      <c r="P38" s="2" t="s">
        <v>111</v>
      </c>
      <c r="Q38" s="31" t="s">
        <v>131</v>
      </c>
      <c r="R38" s="2" t="s">
        <v>117</v>
      </c>
      <c r="S38" s="2" t="s">
        <v>120</v>
      </c>
      <c r="T38" s="20">
        <v>46054</v>
      </c>
      <c r="U38" s="32">
        <v>1</v>
      </c>
      <c r="V38" s="32">
        <v>1</v>
      </c>
      <c r="W38" s="22">
        <f t="shared" si="6"/>
        <v>1</v>
      </c>
      <c r="X38" s="22">
        <v>4303</v>
      </c>
      <c r="Y38" s="23">
        <f t="shared" si="7"/>
        <v>4545.1297298965455</v>
      </c>
      <c r="Z38" s="24">
        <f t="shared" si="8"/>
        <v>1056.2699813842773</v>
      </c>
      <c r="AA38" s="30">
        <v>799.54998779296875</v>
      </c>
      <c r="AB38" s="30">
        <v>188.03999328613281</v>
      </c>
      <c r="AC38" s="30">
        <v>68.680000305175781</v>
      </c>
      <c r="AD38" s="25">
        <f t="shared" si="9"/>
        <v>0</v>
      </c>
      <c r="AE38" s="26">
        <f t="shared" ref="AE38:AE70" si="18">IF(K38="내수",,IF(S38="미국",((AA38+AB38)*2/3)/W38*1000,(AA38+AB38)/W38*1000))</f>
        <v>0</v>
      </c>
      <c r="AF38" s="26">
        <f t="shared" ref="AF38:AF70" si="19">IF(K38="내수",,AC38/W38*1000)</f>
        <v>0</v>
      </c>
      <c r="AG38" s="26">
        <f t="shared" si="10"/>
        <v>0</v>
      </c>
      <c r="AH38" s="25">
        <f t="shared" si="11"/>
        <v>0</v>
      </c>
      <c r="AI38" s="25">
        <f t="shared" si="12"/>
        <v>0</v>
      </c>
      <c r="AJ38" s="25">
        <f t="shared" si="13"/>
        <v>0</v>
      </c>
      <c r="AK38" s="25">
        <f t="shared" si="14"/>
        <v>0</v>
      </c>
      <c r="BA38" s="34">
        <f t="shared" si="15"/>
        <v>3440463.5974731445</v>
      </c>
      <c r="BB38" s="34">
        <f t="shared" si="16"/>
        <v>809136.09111022949</v>
      </c>
      <c r="BC38" s="34">
        <f t="shared" si="17"/>
        <v>295530.04131317139</v>
      </c>
    </row>
    <row r="39" spans="2:55">
      <c r="B39" s="2" t="s">
        <v>66</v>
      </c>
      <c r="C39" s="2" t="s">
        <v>67</v>
      </c>
      <c r="D39" s="2" t="s">
        <v>81</v>
      </c>
      <c r="E39" s="2" t="s">
        <v>79</v>
      </c>
      <c r="F39" s="2" t="s">
        <v>68</v>
      </c>
      <c r="G39" s="28" t="s">
        <v>80</v>
      </c>
      <c r="H39" s="2" t="s">
        <v>117</v>
      </c>
      <c r="I39" s="2" t="s">
        <v>117</v>
      </c>
      <c r="J39" s="2" t="s">
        <v>117</v>
      </c>
      <c r="K39" s="2" t="s">
        <v>69</v>
      </c>
      <c r="L39" s="2" t="s">
        <v>97</v>
      </c>
      <c r="M39" s="2" t="s">
        <v>88</v>
      </c>
      <c r="N39" s="2" t="s">
        <v>118</v>
      </c>
      <c r="O39" s="2" t="s">
        <v>117</v>
      </c>
      <c r="P39" s="2" t="s">
        <v>111</v>
      </c>
      <c r="Q39" s="31" t="s">
        <v>132</v>
      </c>
      <c r="R39" s="2" t="s">
        <v>117</v>
      </c>
      <c r="S39" s="2" t="s">
        <v>120</v>
      </c>
      <c r="T39" s="20">
        <v>46054</v>
      </c>
      <c r="U39" s="32">
        <v>1</v>
      </c>
      <c r="V39" s="32">
        <v>1</v>
      </c>
      <c r="W39" s="22">
        <f t="shared" si="6"/>
        <v>1</v>
      </c>
      <c r="X39" s="22">
        <v>24754</v>
      </c>
      <c r="Y39" s="23">
        <f t="shared" si="7"/>
        <v>24481.705999999998</v>
      </c>
      <c r="Z39" s="24">
        <f t="shared" si="8"/>
        <v>989</v>
      </c>
      <c r="AA39" s="30">
        <v>742.30999755859375</v>
      </c>
      <c r="AB39" s="30">
        <v>187.47000122070313</v>
      </c>
      <c r="AC39" s="30">
        <v>59.220001220703125</v>
      </c>
      <c r="AD39" s="25">
        <f t="shared" si="9"/>
        <v>0</v>
      </c>
      <c r="AE39" s="26">
        <f t="shared" si="18"/>
        <v>0</v>
      </c>
      <c r="AF39" s="26">
        <f t="shared" si="19"/>
        <v>0</v>
      </c>
      <c r="AG39" s="26">
        <f t="shared" si="10"/>
        <v>0</v>
      </c>
      <c r="AH39" s="25">
        <f t="shared" si="11"/>
        <v>0</v>
      </c>
      <c r="AI39" s="25">
        <f t="shared" si="12"/>
        <v>0</v>
      </c>
      <c r="AJ39" s="25">
        <f t="shared" si="13"/>
        <v>0</v>
      </c>
      <c r="AK39" s="25">
        <f t="shared" si="14"/>
        <v>0</v>
      </c>
      <c r="BA39" s="34">
        <f t="shared" si="15"/>
        <v>18375141.67956543</v>
      </c>
      <c r="BB39" s="34">
        <f t="shared" si="16"/>
        <v>4640632.4102172852</v>
      </c>
      <c r="BC39" s="34">
        <f t="shared" si="17"/>
        <v>1465931.9102172852</v>
      </c>
    </row>
    <row r="40" spans="2:55">
      <c r="B40" s="2" t="s">
        <v>66</v>
      </c>
      <c r="C40" s="2" t="s">
        <v>67</v>
      </c>
      <c r="D40" s="2" t="s">
        <v>81</v>
      </c>
      <c r="E40" s="2" t="s">
        <v>79</v>
      </c>
      <c r="F40" s="2" t="s">
        <v>68</v>
      </c>
      <c r="G40" s="28" t="s">
        <v>80</v>
      </c>
      <c r="H40" s="2" t="s">
        <v>117</v>
      </c>
      <c r="I40" s="2" t="s">
        <v>117</v>
      </c>
      <c r="J40" s="2" t="s">
        <v>117</v>
      </c>
      <c r="K40" s="2" t="s">
        <v>69</v>
      </c>
      <c r="L40" s="2" t="s">
        <v>97</v>
      </c>
      <c r="M40" s="2" t="s">
        <v>88</v>
      </c>
      <c r="N40" s="2" t="s">
        <v>118</v>
      </c>
      <c r="O40" s="2" t="s">
        <v>117</v>
      </c>
      <c r="P40" s="2" t="s">
        <v>111</v>
      </c>
      <c r="Q40" s="31" t="s">
        <v>133</v>
      </c>
      <c r="R40" s="2" t="s">
        <v>117</v>
      </c>
      <c r="S40" s="2" t="s">
        <v>120</v>
      </c>
      <c r="T40" s="20">
        <v>46054</v>
      </c>
      <c r="U40" s="32">
        <v>1</v>
      </c>
      <c r="V40" s="32">
        <v>1</v>
      </c>
      <c r="W40" s="22">
        <f t="shared" si="6"/>
        <v>1</v>
      </c>
      <c r="X40" s="22">
        <v>16500</v>
      </c>
      <c r="Y40" s="23">
        <f t="shared" si="7"/>
        <v>18974.010417938232</v>
      </c>
      <c r="Z40" s="24">
        <f t="shared" si="8"/>
        <v>1149.9400253295898</v>
      </c>
      <c r="AA40" s="30">
        <v>816.02001953125</v>
      </c>
      <c r="AB40" s="30">
        <v>242.32000732421875</v>
      </c>
      <c r="AC40" s="30">
        <v>91.599998474121094</v>
      </c>
      <c r="AD40" s="25">
        <f t="shared" si="9"/>
        <v>0</v>
      </c>
      <c r="AE40" s="26">
        <f t="shared" si="18"/>
        <v>0</v>
      </c>
      <c r="AF40" s="26">
        <f t="shared" si="19"/>
        <v>0</v>
      </c>
      <c r="AG40" s="26">
        <f t="shared" si="10"/>
        <v>0</v>
      </c>
      <c r="AH40" s="25">
        <f t="shared" si="11"/>
        <v>0</v>
      </c>
      <c r="AI40" s="25">
        <f t="shared" si="12"/>
        <v>0</v>
      </c>
      <c r="AJ40" s="25">
        <f t="shared" si="13"/>
        <v>0</v>
      </c>
      <c r="AK40" s="25">
        <f t="shared" si="14"/>
        <v>0</v>
      </c>
      <c r="BA40" s="34">
        <f t="shared" si="15"/>
        <v>13464330.322265625</v>
      </c>
      <c r="BB40" s="34">
        <f t="shared" si="16"/>
        <v>3998280.1208496094</v>
      </c>
      <c r="BC40" s="34">
        <f t="shared" si="17"/>
        <v>1511399.974822998</v>
      </c>
    </row>
    <row r="41" spans="2:55">
      <c r="B41" s="2" t="s">
        <v>66</v>
      </c>
      <c r="C41" s="2" t="s">
        <v>67</v>
      </c>
      <c r="D41" s="2" t="s">
        <v>81</v>
      </c>
      <c r="E41" s="2" t="s">
        <v>79</v>
      </c>
      <c r="F41" s="2" t="s">
        <v>68</v>
      </c>
      <c r="G41" s="28" t="s">
        <v>80</v>
      </c>
      <c r="H41" s="2" t="s">
        <v>134</v>
      </c>
      <c r="I41" s="2" t="s">
        <v>117</v>
      </c>
      <c r="J41" s="2" t="s">
        <v>117</v>
      </c>
      <c r="K41" s="2" t="s">
        <v>69</v>
      </c>
      <c r="L41" s="2" t="s">
        <v>97</v>
      </c>
      <c r="M41" s="2" t="s">
        <v>88</v>
      </c>
      <c r="N41" s="2" t="s">
        <v>118</v>
      </c>
      <c r="O41" s="2" t="s">
        <v>117</v>
      </c>
      <c r="P41" s="2" t="s">
        <v>111</v>
      </c>
      <c r="Q41" s="31">
        <v>0</v>
      </c>
      <c r="R41" s="2" t="s">
        <v>117</v>
      </c>
      <c r="S41" s="2" t="s">
        <v>120</v>
      </c>
      <c r="T41" s="20">
        <v>46054</v>
      </c>
      <c r="U41" s="32">
        <v>1</v>
      </c>
      <c r="V41" s="32">
        <v>1</v>
      </c>
      <c r="W41" s="22">
        <f t="shared" si="6"/>
        <v>1</v>
      </c>
      <c r="X41" s="22">
        <v>49577</v>
      </c>
      <c r="Y41" s="23">
        <f t="shared" si="7"/>
        <v>69837.136434192653</v>
      </c>
      <c r="Z41" s="24">
        <f t="shared" si="8"/>
        <v>1408.6599922180176</v>
      </c>
      <c r="AA41" s="30">
        <v>1109</v>
      </c>
      <c r="AB41" s="30">
        <v>271.95999145507813</v>
      </c>
      <c r="AC41" s="30">
        <v>27.700000762939453</v>
      </c>
      <c r="AD41" s="25">
        <f t="shared" si="9"/>
        <v>0</v>
      </c>
      <c r="AE41" s="26">
        <f t="shared" si="18"/>
        <v>0</v>
      </c>
      <c r="AF41" s="26">
        <f t="shared" si="19"/>
        <v>0</v>
      </c>
      <c r="AG41" s="26">
        <f t="shared" si="10"/>
        <v>0</v>
      </c>
      <c r="AH41" s="25">
        <f t="shared" si="11"/>
        <v>0</v>
      </c>
      <c r="AI41" s="25">
        <f t="shared" si="12"/>
        <v>0</v>
      </c>
      <c r="AJ41" s="25">
        <f t="shared" si="13"/>
        <v>0</v>
      </c>
      <c r="AK41" s="25">
        <f t="shared" si="14"/>
        <v>0</v>
      </c>
      <c r="BA41" s="34">
        <f t="shared" si="15"/>
        <v>54980893</v>
      </c>
      <c r="BB41" s="34">
        <f t="shared" si="16"/>
        <v>13482960.496368408</v>
      </c>
      <c r="BC41" s="34">
        <f t="shared" si="17"/>
        <v>1373282.9378242493</v>
      </c>
    </row>
    <row r="42" spans="2:55">
      <c r="B42" s="2" t="s">
        <v>66</v>
      </c>
      <c r="C42" s="2" t="s">
        <v>67</v>
      </c>
      <c r="D42" s="2" t="s">
        <v>81</v>
      </c>
      <c r="E42" s="2" t="s">
        <v>79</v>
      </c>
      <c r="F42" s="2" t="s">
        <v>68</v>
      </c>
      <c r="G42" s="28" t="s">
        <v>80</v>
      </c>
      <c r="H42" s="2" t="s">
        <v>135</v>
      </c>
      <c r="I42" s="2" t="s">
        <v>117</v>
      </c>
      <c r="J42" s="2" t="s">
        <v>117</v>
      </c>
      <c r="K42" s="2" t="s">
        <v>69</v>
      </c>
      <c r="L42" s="2" t="s">
        <v>97</v>
      </c>
      <c r="M42" s="2" t="s">
        <v>88</v>
      </c>
      <c r="N42" s="2" t="s">
        <v>118</v>
      </c>
      <c r="O42" s="2" t="s">
        <v>117</v>
      </c>
      <c r="P42" s="2" t="s">
        <v>111</v>
      </c>
      <c r="Q42" s="31">
        <v>0</v>
      </c>
      <c r="R42" s="2" t="s">
        <v>117</v>
      </c>
      <c r="S42" s="2" t="s">
        <v>120</v>
      </c>
      <c r="T42" s="20">
        <v>46054</v>
      </c>
      <c r="U42" s="32">
        <v>1</v>
      </c>
      <c r="V42" s="32">
        <v>1</v>
      </c>
      <c r="W42" s="22">
        <f t="shared" si="6"/>
        <v>1</v>
      </c>
      <c r="X42" s="22">
        <v>9302</v>
      </c>
      <c r="Y42" s="23">
        <f t="shared" si="7"/>
        <v>10243.083336274147</v>
      </c>
      <c r="Z42" s="24">
        <f t="shared" si="8"/>
        <v>1101.1699995994568</v>
      </c>
      <c r="AA42" s="30">
        <v>976</v>
      </c>
      <c r="AB42" s="30">
        <v>121.06999969482422</v>
      </c>
      <c r="AC42" s="30">
        <v>4.0999999046325684</v>
      </c>
      <c r="AD42" s="25">
        <f t="shared" si="9"/>
        <v>0</v>
      </c>
      <c r="AE42" s="26">
        <f t="shared" si="18"/>
        <v>0</v>
      </c>
      <c r="AF42" s="26">
        <f t="shared" si="19"/>
        <v>0</v>
      </c>
      <c r="AG42" s="26">
        <f t="shared" si="10"/>
        <v>0</v>
      </c>
      <c r="AH42" s="25">
        <f t="shared" si="11"/>
        <v>0</v>
      </c>
      <c r="AI42" s="25">
        <f t="shared" si="12"/>
        <v>0</v>
      </c>
      <c r="AJ42" s="25">
        <f t="shared" si="13"/>
        <v>0</v>
      </c>
      <c r="AK42" s="25">
        <f t="shared" si="14"/>
        <v>0</v>
      </c>
      <c r="BA42" s="34">
        <f t="shared" si="15"/>
        <v>9078752</v>
      </c>
      <c r="BB42" s="34">
        <f t="shared" si="16"/>
        <v>1126193.1371612549</v>
      </c>
      <c r="BC42" s="34">
        <f t="shared" si="17"/>
        <v>38138.199112892151</v>
      </c>
    </row>
    <row r="43" spans="2:55">
      <c r="B43" s="2" t="s">
        <v>66</v>
      </c>
      <c r="C43" s="2" t="s">
        <v>67</v>
      </c>
      <c r="D43" s="2" t="s">
        <v>81</v>
      </c>
      <c r="E43" s="2" t="s">
        <v>79</v>
      </c>
      <c r="F43" s="2" t="s">
        <v>68</v>
      </c>
      <c r="G43" s="28" t="s">
        <v>80</v>
      </c>
      <c r="H43" s="2" t="s">
        <v>117</v>
      </c>
      <c r="I43" s="2" t="s">
        <v>117</v>
      </c>
      <c r="J43" s="2" t="s">
        <v>117</v>
      </c>
      <c r="K43" s="2" t="s">
        <v>69</v>
      </c>
      <c r="L43" s="2" t="s">
        <v>97</v>
      </c>
      <c r="M43" s="2" t="s">
        <v>89</v>
      </c>
      <c r="N43" s="2" t="s">
        <v>119</v>
      </c>
      <c r="O43" s="2" t="s">
        <v>117</v>
      </c>
      <c r="P43" s="2" t="s">
        <v>111</v>
      </c>
      <c r="Q43" s="31" t="s">
        <v>131</v>
      </c>
      <c r="R43" s="2" t="s">
        <v>117</v>
      </c>
      <c r="S43" s="2" t="s">
        <v>120</v>
      </c>
      <c r="T43" s="20">
        <v>46054</v>
      </c>
      <c r="U43" s="32">
        <v>1</v>
      </c>
      <c r="V43" s="32">
        <v>1</v>
      </c>
      <c r="W43" s="22">
        <f t="shared" si="6"/>
        <v>1</v>
      </c>
      <c r="X43" s="22">
        <v>18932</v>
      </c>
      <c r="Y43" s="23">
        <f t="shared" si="7"/>
        <v>25413.560217643739</v>
      </c>
      <c r="Z43" s="24">
        <f t="shared" si="8"/>
        <v>1342.3600368499756</v>
      </c>
      <c r="AA43" s="30">
        <v>1150.6600341796875</v>
      </c>
      <c r="AB43" s="30">
        <v>183.05000305175781</v>
      </c>
      <c r="AC43" s="30">
        <v>8.6499996185302734</v>
      </c>
      <c r="AD43" s="25">
        <f t="shared" si="9"/>
        <v>0</v>
      </c>
      <c r="AE43" s="26">
        <f t="shared" si="18"/>
        <v>0</v>
      </c>
      <c r="AF43" s="26">
        <f t="shared" si="19"/>
        <v>0</v>
      </c>
      <c r="AG43" s="26">
        <f t="shared" si="10"/>
        <v>0</v>
      </c>
      <c r="AH43" s="25">
        <f t="shared" si="11"/>
        <v>0</v>
      </c>
      <c r="AI43" s="25">
        <f t="shared" si="12"/>
        <v>0</v>
      </c>
      <c r="AJ43" s="25">
        <f t="shared" si="13"/>
        <v>0</v>
      </c>
      <c r="AK43" s="25">
        <f t="shared" si="14"/>
        <v>0</v>
      </c>
      <c r="BA43" s="34">
        <f t="shared" si="15"/>
        <v>21784295.767089844</v>
      </c>
      <c r="BB43" s="34">
        <f t="shared" si="16"/>
        <v>3465502.6577758789</v>
      </c>
      <c r="BC43" s="34">
        <f t="shared" si="17"/>
        <v>163761.79277801514</v>
      </c>
    </row>
    <row r="44" spans="2:55">
      <c r="B44" s="2" t="s">
        <v>66</v>
      </c>
      <c r="C44" s="2" t="s">
        <v>67</v>
      </c>
      <c r="D44" s="2" t="s">
        <v>81</v>
      </c>
      <c r="E44" s="2" t="s">
        <v>79</v>
      </c>
      <c r="F44" s="2" t="s">
        <v>68</v>
      </c>
      <c r="G44" s="28" t="s">
        <v>80</v>
      </c>
      <c r="H44" s="2" t="s">
        <v>117</v>
      </c>
      <c r="I44" s="2" t="s">
        <v>117</v>
      </c>
      <c r="J44" s="2" t="s">
        <v>117</v>
      </c>
      <c r="K44" s="2" t="s">
        <v>69</v>
      </c>
      <c r="L44" s="2" t="s">
        <v>97</v>
      </c>
      <c r="M44" s="2" t="s">
        <v>89</v>
      </c>
      <c r="N44" s="2" t="s">
        <v>119</v>
      </c>
      <c r="O44" s="2" t="s">
        <v>117</v>
      </c>
      <c r="P44" s="2" t="s">
        <v>111</v>
      </c>
      <c r="Q44" s="31" t="s">
        <v>132</v>
      </c>
      <c r="R44" s="2" t="s">
        <v>117</v>
      </c>
      <c r="S44" s="2" t="s">
        <v>120</v>
      </c>
      <c r="T44" s="20">
        <v>46054</v>
      </c>
      <c r="U44" s="32">
        <v>1</v>
      </c>
      <c r="V44" s="32">
        <v>1</v>
      </c>
      <c r="W44" s="22">
        <f t="shared" si="6"/>
        <v>1</v>
      </c>
      <c r="X44" s="22">
        <v>24821</v>
      </c>
      <c r="Y44" s="23">
        <f t="shared" si="7"/>
        <v>40669.705594154359</v>
      </c>
      <c r="Z44" s="24">
        <f t="shared" si="8"/>
        <v>1638.5200271606445</v>
      </c>
      <c r="AA44" s="30">
        <v>1258.02001953125</v>
      </c>
      <c r="AB44" s="30">
        <v>298.48001098632813</v>
      </c>
      <c r="AC44" s="30">
        <v>82.019996643066406</v>
      </c>
      <c r="AD44" s="25">
        <f t="shared" si="9"/>
        <v>0</v>
      </c>
      <c r="AE44" s="26">
        <f t="shared" si="18"/>
        <v>0</v>
      </c>
      <c r="AF44" s="26">
        <f t="shared" si="19"/>
        <v>0</v>
      </c>
      <c r="AG44" s="26">
        <f t="shared" si="10"/>
        <v>0</v>
      </c>
      <c r="AH44" s="25">
        <f t="shared" si="11"/>
        <v>0</v>
      </c>
      <c r="AI44" s="25">
        <f t="shared" si="12"/>
        <v>0</v>
      </c>
      <c r="AJ44" s="25">
        <f t="shared" si="13"/>
        <v>0</v>
      </c>
      <c r="AK44" s="25">
        <f t="shared" si="14"/>
        <v>0</v>
      </c>
      <c r="BA44" s="34">
        <f t="shared" si="15"/>
        <v>31225314.904785156</v>
      </c>
      <c r="BB44" s="34">
        <f t="shared" si="16"/>
        <v>7408572.3526916504</v>
      </c>
      <c r="BC44" s="34">
        <f t="shared" si="17"/>
        <v>2035818.3366775513</v>
      </c>
    </row>
    <row r="45" spans="2:55">
      <c r="B45" s="2" t="s">
        <v>66</v>
      </c>
      <c r="C45" s="2" t="s">
        <v>67</v>
      </c>
      <c r="D45" s="2" t="s">
        <v>81</v>
      </c>
      <c r="E45" s="2" t="s">
        <v>79</v>
      </c>
      <c r="F45" s="2" t="s">
        <v>68</v>
      </c>
      <c r="G45" s="28" t="s">
        <v>80</v>
      </c>
      <c r="H45" s="2" t="s">
        <v>117</v>
      </c>
      <c r="I45" s="2" t="s">
        <v>117</v>
      </c>
      <c r="J45" s="2" t="s">
        <v>117</v>
      </c>
      <c r="K45" s="2" t="s">
        <v>69</v>
      </c>
      <c r="L45" s="2" t="s">
        <v>97</v>
      </c>
      <c r="M45" s="2" t="s">
        <v>89</v>
      </c>
      <c r="N45" s="2" t="s">
        <v>119</v>
      </c>
      <c r="O45" s="2" t="s">
        <v>117</v>
      </c>
      <c r="P45" s="2" t="s">
        <v>111</v>
      </c>
      <c r="Q45" s="31" t="s">
        <v>133</v>
      </c>
      <c r="R45" s="2" t="s">
        <v>117</v>
      </c>
      <c r="S45" s="2" t="s">
        <v>120</v>
      </c>
      <c r="T45" s="20">
        <v>46054</v>
      </c>
      <c r="U45" s="32">
        <v>1</v>
      </c>
      <c r="V45" s="32">
        <v>1</v>
      </c>
      <c r="W45" s="22">
        <f t="shared" si="6"/>
        <v>1</v>
      </c>
      <c r="X45" s="22">
        <v>44074</v>
      </c>
      <c r="Y45" s="23">
        <f t="shared" si="7"/>
        <v>44067.388160232542</v>
      </c>
      <c r="Z45" s="24">
        <f t="shared" si="8"/>
        <v>999.84998321533203</v>
      </c>
      <c r="AA45" s="30">
        <v>727.03997802734375</v>
      </c>
      <c r="AB45" s="30">
        <v>228.52000427246094</v>
      </c>
      <c r="AC45" s="30">
        <v>44.290000915527344</v>
      </c>
      <c r="AD45" s="25">
        <f t="shared" si="9"/>
        <v>0</v>
      </c>
      <c r="AE45" s="26">
        <f t="shared" si="18"/>
        <v>0</v>
      </c>
      <c r="AF45" s="26">
        <f t="shared" si="19"/>
        <v>0</v>
      </c>
      <c r="AG45" s="26">
        <f t="shared" si="10"/>
        <v>0</v>
      </c>
      <c r="AH45" s="25">
        <f t="shared" si="11"/>
        <v>0</v>
      </c>
      <c r="AI45" s="25">
        <f t="shared" si="12"/>
        <v>0</v>
      </c>
      <c r="AJ45" s="25">
        <f t="shared" si="13"/>
        <v>0</v>
      </c>
      <c r="AK45" s="25">
        <f t="shared" si="14"/>
        <v>0</v>
      </c>
      <c r="BA45" s="34">
        <f t="shared" si="15"/>
        <v>32043559.991577148</v>
      </c>
      <c r="BB45" s="34">
        <f t="shared" si="16"/>
        <v>10071790.668304443</v>
      </c>
      <c r="BC45" s="34">
        <f t="shared" si="17"/>
        <v>1952037.5003509521</v>
      </c>
    </row>
    <row r="46" spans="2:55">
      <c r="B46" s="2" t="s">
        <v>66</v>
      </c>
      <c r="C46" s="2" t="s">
        <v>67</v>
      </c>
      <c r="D46" s="2" t="s">
        <v>81</v>
      </c>
      <c r="E46" s="2" t="s">
        <v>79</v>
      </c>
      <c r="F46" s="2" t="s">
        <v>68</v>
      </c>
      <c r="G46" s="28" t="s">
        <v>80</v>
      </c>
      <c r="H46" s="2" t="s">
        <v>134</v>
      </c>
      <c r="I46" s="2" t="s">
        <v>117</v>
      </c>
      <c r="J46" s="2" t="s">
        <v>117</v>
      </c>
      <c r="K46" s="2" t="s">
        <v>69</v>
      </c>
      <c r="L46" s="2" t="s">
        <v>97</v>
      </c>
      <c r="M46" s="2" t="s">
        <v>89</v>
      </c>
      <c r="N46" s="2" t="s">
        <v>119</v>
      </c>
      <c r="O46" s="2" t="s">
        <v>117</v>
      </c>
      <c r="P46" s="2" t="s">
        <v>111</v>
      </c>
      <c r="Q46" s="31">
        <v>0</v>
      </c>
      <c r="R46" s="2" t="s">
        <v>117</v>
      </c>
      <c r="S46" s="2" t="s">
        <v>120</v>
      </c>
      <c r="T46" s="20">
        <v>46054</v>
      </c>
      <c r="U46" s="32">
        <v>1</v>
      </c>
      <c r="V46" s="32">
        <v>1</v>
      </c>
      <c r="W46" s="22">
        <f t="shared" si="6"/>
        <v>1</v>
      </c>
      <c r="X46" s="22">
        <v>24704</v>
      </c>
      <c r="Y46" s="23">
        <f t="shared" si="7"/>
        <v>23542.171569824219</v>
      </c>
      <c r="Z46" s="24">
        <f t="shared" si="8"/>
        <v>952.97002792358398</v>
      </c>
      <c r="AA46" s="30">
        <v>703.09002685546875</v>
      </c>
      <c r="AB46" s="30">
        <v>203.38999938964844</v>
      </c>
      <c r="AC46" s="30">
        <v>46.490001678466797</v>
      </c>
      <c r="AD46" s="25">
        <f t="shared" si="9"/>
        <v>0</v>
      </c>
      <c r="AE46" s="26">
        <f t="shared" si="18"/>
        <v>0</v>
      </c>
      <c r="AF46" s="26">
        <f t="shared" si="19"/>
        <v>0</v>
      </c>
      <c r="AG46" s="26">
        <f t="shared" si="10"/>
        <v>0</v>
      </c>
      <c r="AH46" s="25">
        <f t="shared" si="11"/>
        <v>0</v>
      </c>
      <c r="AI46" s="25">
        <f t="shared" si="12"/>
        <v>0</v>
      </c>
      <c r="AJ46" s="25">
        <f t="shared" si="13"/>
        <v>0</v>
      </c>
      <c r="AK46" s="25">
        <f t="shared" si="14"/>
        <v>0</v>
      </c>
      <c r="BA46" s="34">
        <f t="shared" si="15"/>
        <v>17369136.0234375</v>
      </c>
      <c r="BB46" s="34">
        <f t="shared" si="16"/>
        <v>5024546.544921875</v>
      </c>
      <c r="BC46" s="34">
        <f t="shared" si="17"/>
        <v>1148489.0014648438</v>
      </c>
    </row>
    <row r="47" spans="2:55">
      <c r="B47" s="2" t="s">
        <v>66</v>
      </c>
      <c r="C47" s="2" t="s">
        <v>67</v>
      </c>
      <c r="D47" s="2" t="s">
        <v>81</v>
      </c>
      <c r="E47" s="2" t="s">
        <v>79</v>
      </c>
      <c r="F47" s="2" t="s">
        <v>68</v>
      </c>
      <c r="G47" s="28" t="s">
        <v>80</v>
      </c>
      <c r="H47" s="2" t="s">
        <v>135</v>
      </c>
      <c r="I47" s="2" t="s">
        <v>117</v>
      </c>
      <c r="J47" s="2" t="s">
        <v>117</v>
      </c>
      <c r="K47" s="2" t="s">
        <v>69</v>
      </c>
      <c r="L47" s="2" t="s">
        <v>97</v>
      </c>
      <c r="M47" s="2" t="s">
        <v>89</v>
      </c>
      <c r="N47" s="2" t="s">
        <v>119</v>
      </c>
      <c r="O47" s="2" t="s">
        <v>117</v>
      </c>
      <c r="P47" s="2" t="s">
        <v>111</v>
      </c>
      <c r="Q47" s="31">
        <v>0</v>
      </c>
      <c r="R47" s="2" t="s">
        <v>117</v>
      </c>
      <c r="S47" s="2" t="s">
        <v>120</v>
      </c>
      <c r="T47" s="20">
        <v>46054</v>
      </c>
      <c r="U47" s="32">
        <v>1</v>
      </c>
      <c r="V47" s="32">
        <v>1</v>
      </c>
      <c r="W47" s="22">
        <f t="shared" si="6"/>
        <v>1</v>
      </c>
      <c r="X47" s="22">
        <v>18289</v>
      </c>
      <c r="Y47" s="23">
        <f t="shared" si="7"/>
        <v>26581.050466274261</v>
      </c>
      <c r="Z47" s="24">
        <f t="shared" si="8"/>
        <v>1453.3900413513184</v>
      </c>
      <c r="AA47" s="30">
        <v>1360.4200439453125</v>
      </c>
      <c r="AB47" s="30">
        <v>45.799999237060547</v>
      </c>
      <c r="AC47" s="30">
        <v>47.169998168945313</v>
      </c>
      <c r="AD47" s="25">
        <f t="shared" si="9"/>
        <v>0</v>
      </c>
      <c r="AE47" s="26">
        <f t="shared" si="18"/>
        <v>0</v>
      </c>
      <c r="AF47" s="26">
        <f t="shared" si="19"/>
        <v>0</v>
      </c>
      <c r="AG47" s="26">
        <f t="shared" si="10"/>
        <v>0</v>
      </c>
      <c r="AH47" s="25">
        <f t="shared" si="11"/>
        <v>0</v>
      </c>
      <c r="AI47" s="25">
        <f t="shared" si="12"/>
        <v>0</v>
      </c>
      <c r="AJ47" s="25">
        <f t="shared" si="13"/>
        <v>0</v>
      </c>
      <c r="AK47" s="25">
        <f t="shared" si="14"/>
        <v>0</v>
      </c>
      <c r="BA47" s="34">
        <f t="shared" si="15"/>
        <v>24880722.18371582</v>
      </c>
      <c r="BB47" s="34">
        <f t="shared" si="16"/>
        <v>837636.18604660034</v>
      </c>
      <c r="BC47" s="34">
        <f t="shared" si="17"/>
        <v>862692.09651184082</v>
      </c>
    </row>
    <row r="48" spans="2:55">
      <c r="B48" s="2" t="s">
        <v>66</v>
      </c>
      <c r="C48" s="2" t="s">
        <v>67</v>
      </c>
      <c r="D48" s="2" t="s">
        <v>81</v>
      </c>
      <c r="E48" s="2" t="s">
        <v>79</v>
      </c>
      <c r="F48" s="2" t="s">
        <v>68</v>
      </c>
      <c r="G48" s="28" t="s">
        <v>80</v>
      </c>
      <c r="H48" s="2" t="s">
        <v>117</v>
      </c>
      <c r="I48" s="2" t="s">
        <v>117</v>
      </c>
      <c r="J48" s="2" t="s">
        <v>117</v>
      </c>
      <c r="K48" s="2" t="s">
        <v>69</v>
      </c>
      <c r="L48" s="2" t="s">
        <v>98</v>
      </c>
      <c r="M48" s="2" t="s">
        <v>85</v>
      </c>
      <c r="N48" s="2" t="s">
        <v>112</v>
      </c>
      <c r="O48" s="2" t="s">
        <v>117</v>
      </c>
      <c r="P48" s="2" t="s">
        <v>111</v>
      </c>
      <c r="Q48" s="31">
        <v>0</v>
      </c>
      <c r="R48" s="2" t="s">
        <v>117</v>
      </c>
      <c r="S48" s="2" t="s">
        <v>120</v>
      </c>
      <c r="T48" s="20">
        <v>46054</v>
      </c>
      <c r="U48" s="32">
        <v>1</v>
      </c>
      <c r="V48" s="32">
        <v>1</v>
      </c>
      <c r="W48" s="22">
        <f t="shared" si="6"/>
        <v>1</v>
      </c>
      <c r="X48" s="22">
        <v>15128</v>
      </c>
      <c r="Y48" s="23">
        <f t="shared" si="7"/>
        <v>18124.099970069885</v>
      </c>
      <c r="Z48" s="24">
        <f t="shared" si="8"/>
        <v>1198.0499715805054</v>
      </c>
      <c r="AA48" s="30">
        <v>1014.719970703125</v>
      </c>
      <c r="AB48" s="30">
        <v>169.36000061035156</v>
      </c>
      <c r="AC48" s="30">
        <v>13.970000267028809</v>
      </c>
      <c r="AD48" s="25">
        <f t="shared" si="9"/>
        <v>0</v>
      </c>
      <c r="AE48" s="26">
        <f t="shared" si="18"/>
        <v>0</v>
      </c>
      <c r="AF48" s="26">
        <f t="shared" si="19"/>
        <v>0</v>
      </c>
      <c r="AG48" s="26">
        <f t="shared" si="10"/>
        <v>0</v>
      </c>
      <c r="AH48" s="25">
        <f t="shared" si="11"/>
        <v>0</v>
      </c>
      <c r="AI48" s="25">
        <f t="shared" si="12"/>
        <v>0</v>
      </c>
      <c r="AJ48" s="25">
        <f t="shared" si="13"/>
        <v>0</v>
      </c>
      <c r="AK48" s="25">
        <f t="shared" si="14"/>
        <v>0</v>
      </c>
      <c r="BA48" s="34">
        <f t="shared" si="15"/>
        <v>15350683.716796875</v>
      </c>
      <c r="BB48" s="34">
        <f t="shared" si="16"/>
        <v>2562078.0892333984</v>
      </c>
      <c r="BC48" s="34">
        <f t="shared" si="17"/>
        <v>211338.16403961182</v>
      </c>
    </row>
    <row r="49" spans="2:55">
      <c r="B49" s="2" t="s">
        <v>66</v>
      </c>
      <c r="C49" s="2" t="s">
        <v>67</v>
      </c>
      <c r="D49" s="2" t="s">
        <v>81</v>
      </c>
      <c r="E49" s="2" t="s">
        <v>79</v>
      </c>
      <c r="F49" s="2" t="s">
        <v>68</v>
      </c>
      <c r="G49" s="28" t="s">
        <v>80</v>
      </c>
      <c r="H49" s="2" t="s">
        <v>117</v>
      </c>
      <c r="I49" s="2" t="s">
        <v>117</v>
      </c>
      <c r="J49" s="2" t="s">
        <v>136</v>
      </c>
      <c r="K49" s="2" t="s">
        <v>69</v>
      </c>
      <c r="L49" s="2" t="s">
        <v>98</v>
      </c>
      <c r="M49" s="2" t="s">
        <v>85</v>
      </c>
      <c r="N49" s="2" t="s">
        <v>112</v>
      </c>
      <c r="O49" s="2" t="s">
        <v>117</v>
      </c>
      <c r="P49" s="2" t="s">
        <v>111</v>
      </c>
      <c r="Q49" s="31">
        <v>0</v>
      </c>
      <c r="R49" s="2" t="s">
        <v>117</v>
      </c>
      <c r="S49" s="2" t="s">
        <v>120</v>
      </c>
      <c r="T49" s="20">
        <v>46054</v>
      </c>
      <c r="U49" s="32">
        <v>1</v>
      </c>
      <c r="V49" s="32">
        <v>1</v>
      </c>
      <c r="W49" s="22">
        <f t="shared" si="6"/>
        <v>1</v>
      </c>
      <c r="X49" s="22">
        <v>41895</v>
      </c>
      <c r="Y49" s="23">
        <f t="shared" si="7"/>
        <v>56046.290491790773</v>
      </c>
      <c r="Z49" s="24">
        <f t="shared" si="8"/>
        <v>1337.7799377441406</v>
      </c>
      <c r="AA49" s="30">
        <v>1035.5699462890625</v>
      </c>
      <c r="AB49" s="30">
        <v>252.03999328613281</v>
      </c>
      <c r="AC49" s="30">
        <v>50.169998168945313</v>
      </c>
      <c r="AD49" s="25">
        <f t="shared" si="9"/>
        <v>0</v>
      </c>
      <c r="AE49" s="26">
        <f t="shared" si="18"/>
        <v>0</v>
      </c>
      <c r="AF49" s="26">
        <f t="shared" si="19"/>
        <v>0</v>
      </c>
      <c r="AG49" s="26">
        <f t="shared" si="10"/>
        <v>0</v>
      </c>
      <c r="AH49" s="25">
        <f t="shared" si="11"/>
        <v>0</v>
      </c>
      <c r="AI49" s="25">
        <f t="shared" si="12"/>
        <v>0</v>
      </c>
      <c r="AJ49" s="25">
        <f t="shared" si="13"/>
        <v>0</v>
      </c>
      <c r="AK49" s="25">
        <f t="shared" si="14"/>
        <v>0</v>
      </c>
      <c r="BA49" s="34">
        <f t="shared" si="15"/>
        <v>43385202.899780273</v>
      </c>
      <c r="BB49" s="34">
        <f t="shared" si="16"/>
        <v>10559215.518722534</v>
      </c>
      <c r="BC49" s="34">
        <f t="shared" si="17"/>
        <v>2101872.0732879639</v>
      </c>
    </row>
    <row r="50" spans="2:55">
      <c r="B50" s="2" t="s">
        <v>66</v>
      </c>
      <c r="C50" s="2" t="s">
        <v>67</v>
      </c>
      <c r="D50" s="2" t="s">
        <v>81</v>
      </c>
      <c r="E50" s="2" t="s">
        <v>79</v>
      </c>
      <c r="F50" s="2" t="s">
        <v>68</v>
      </c>
      <c r="G50" s="28" t="s">
        <v>80</v>
      </c>
      <c r="H50" s="2" t="s">
        <v>117</v>
      </c>
      <c r="I50" s="2" t="s">
        <v>117</v>
      </c>
      <c r="J50" s="2" t="s">
        <v>117</v>
      </c>
      <c r="K50" s="2" t="s">
        <v>69</v>
      </c>
      <c r="L50" s="2" t="s">
        <v>98</v>
      </c>
      <c r="M50" s="2" t="s">
        <v>86</v>
      </c>
      <c r="N50" s="2" t="s">
        <v>113</v>
      </c>
      <c r="O50" s="2" t="s">
        <v>117</v>
      </c>
      <c r="P50" s="2" t="s">
        <v>111</v>
      </c>
      <c r="Q50" s="31">
        <v>0</v>
      </c>
      <c r="R50" s="2" t="s">
        <v>117</v>
      </c>
      <c r="S50" s="2" t="s">
        <v>120</v>
      </c>
      <c r="T50" s="20">
        <v>46054</v>
      </c>
      <c r="U50" s="32">
        <v>1</v>
      </c>
      <c r="V50" s="32">
        <v>1</v>
      </c>
      <c r="W50" s="22">
        <f t="shared" si="6"/>
        <v>1</v>
      </c>
      <c r="X50" s="22">
        <v>21799</v>
      </c>
      <c r="Y50" s="23">
        <f t="shared" si="7"/>
        <v>32475.712946041109</v>
      </c>
      <c r="Z50" s="24">
        <f t="shared" si="8"/>
        <v>1489.7799415588379</v>
      </c>
      <c r="AA50" s="30">
        <v>1358.93994140625</v>
      </c>
      <c r="AB50" s="30">
        <v>84.610000610351563</v>
      </c>
      <c r="AC50" s="30">
        <v>46.229999542236328</v>
      </c>
      <c r="AD50" s="25">
        <f t="shared" si="9"/>
        <v>0</v>
      </c>
      <c r="AE50" s="26">
        <f t="shared" si="18"/>
        <v>0</v>
      </c>
      <c r="AF50" s="26">
        <f t="shared" si="19"/>
        <v>0</v>
      </c>
      <c r="AG50" s="26">
        <f t="shared" si="10"/>
        <v>0</v>
      </c>
      <c r="AH50" s="25">
        <f t="shared" si="11"/>
        <v>0</v>
      </c>
      <c r="AI50" s="25">
        <f t="shared" si="12"/>
        <v>0</v>
      </c>
      <c r="AJ50" s="25">
        <f t="shared" si="13"/>
        <v>0</v>
      </c>
      <c r="AK50" s="25">
        <f t="shared" si="14"/>
        <v>0</v>
      </c>
      <c r="BA50" s="34">
        <f t="shared" si="15"/>
        <v>29623531.782714844</v>
      </c>
      <c r="BB50" s="34">
        <f t="shared" si="16"/>
        <v>1844413.4033050537</v>
      </c>
      <c r="BC50" s="34">
        <f t="shared" si="17"/>
        <v>1007767.7600212097</v>
      </c>
    </row>
    <row r="51" spans="2:55">
      <c r="B51" s="2" t="s">
        <v>66</v>
      </c>
      <c r="C51" s="2" t="s">
        <v>67</v>
      </c>
      <c r="D51" s="2" t="s">
        <v>81</v>
      </c>
      <c r="E51" s="2" t="s">
        <v>79</v>
      </c>
      <c r="F51" s="2" t="s">
        <v>68</v>
      </c>
      <c r="G51" s="28" t="s">
        <v>80</v>
      </c>
      <c r="H51" s="2" t="s">
        <v>137</v>
      </c>
      <c r="I51" s="2" t="s">
        <v>117</v>
      </c>
      <c r="J51" s="2" t="s">
        <v>117</v>
      </c>
      <c r="K51" s="2" t="s">
        <v>69</v>
      </c>
      <c r="L51" s="2" t="s">
        <v>98</v>
      </c>
      <c r="M51" s="2" t="s">
        <v>86</v>
      </c>
      <c r="N51" s="2" t="s">
        <v>113</v>
      </c>
      <c r="O51" s="2" t="s">
        <v>117</v>
      </c>
      <c r="P51" s="2" t="s">
        <v>111</v>
      </c>
      <c r="Q51" s="31">
        <v>0</v>
      </c>
      <c r="R51" s="2" t="s">
        <v>117</v>
      </c>
      <c r="S51" s="2" t="s">
        <v>120</v>
      </c>
      <c r="T51" s="20">
        <v>46054</v>
      </c>
      <c r="U51" s="32">
        <v>1</v>
      </c>
      <c r="V51" s="32">
        <v>1</v>
      </c>
      <c r="W51" s="22">
        <f t="shared" si="6"/>
        <v>1</v>
      </c>
      <c r="X51" s="22">
        <v>47239</v>
      </c>
      <c r="Y51" s="23">
        <f t="shared" si="7"/>
        <v>59059.141556449889</v>
      </c>
      <c r="Z51" s="24">
        <f t="shared" si="8"/>
        <v>1250.2199783325195</v>
      </c>
      <c r="AA51" s="30">
        <v>999.72998046875</v>
      </c>
      <c r="AB51" s="30">
        <v>194.05999755859375</v>
      </c>
      <c r="AC51" s="30">
        <v>56.430000305175781</v>
      </c>
      <c r="AD51" s="25">
        <f t="shared" si="9"/>
        <v>0</v>
      </c>
      <c r="AE51" s="26">
        <f t="shared" si="18"/>
        <v>0</v>
      </c>
      <c r="AF51" s="26">
        <f t="shared" si="19"/>
        <v>0</v>
      </c>
      <c r="AG51" s="26">
        <f t="shared" si="10"/>
        <v>0</v>
      </c>
      <c r="AH51" s="25">
        <f t="shared" si="11"/>
        <v>0</v>
      </c>
      <c r="AI51" s="25">
        <f t="shared" si="12"/>
        <v>0</v>
      </c>
      <c r="AJ51" s="25">
        <f t="shared" si="13"/>
        <v>0</v>
      </c>
      <c r="AK51" s="25">
        <f t="shared" si="14"/>
        <v>0</v>
      </c>
      <c r="BA51" s="34">
        <f t="shared" si="15"/>
        <v>47226244.547363281</v>
      </c>
      <c r="BB51" s="34">
        <f t="shared" si="16"/>
        <v>9167200.2246704102</v>
      </c>
      <c r="BC51" s="34">
        <f t="shared" si="17"/>
        <v>2665696.7844161987</v>
      </c>
    </row>
    <row r="52" spans="2:55">
      <c r="B52" s="2" t="s">
        <v>66</v>
      </c>
      <c r="C52" s="2" t="s">
        <v>67</v>
      </c>
      <c r="D52" s="2" t="s">
        <v>81</v>
      </c>
      <c r="E52" s="2" t="s">
        <v>79</v>
      </c>
      <c r="F52" s="2" t="s">
        <v>68</v>
      </c>
      <c r="G52" s="28" t="s">
        <v>80</v>
      </c>
      <c r="H52" s="2" t="s">
        <v>117</v>
      </c>
      <c r="I52" s="2" t="s">
        <v>117</v>
      </c>
      <c r="J52" s="2" t="s">
        <v>117</v>
      </c>
      <c r="K52" s="2" t="s">
        <v>69</v>
      </c>
      <c r="L52" s="2" t="s">
        <v>98</v>
      </c>
      <c r="M52" s="2" t="s">
        <v>86</v>
      </c>
      <c r="N52" s="2" t="s">
        <v>114</v>
      </c>
      <c r="O52" s="2" t="s">
        <v>117</v>
      </c>
      <c r="P52" s="2" t="s">
        <v>111</v>
      </c>
      <c r="Q52" s="31">
        <v>0</v>
      </c>
      <c r="R52" s="2" t="s">
        <v>117</v>
      </c>
      <c r="S52" s="2" t="s">
        <v>120</v>
      </c>
      <c r="T52" s="20">
        <v>46054</v>
      </c>
      <c r="U52" s="32">
        <v>1</v>
      </c>
      <c r="V52" s="32">
        <v>1</v>
      </c>
      <c r="W52" s="22">
        <f t="shared" si="6"/>
        <v>1</v>
      </c>
      <c r="X52" s="22">
        <v>14958</v>
      </c>
      <c r="Y52" s="23">
        <f t="shared" si="7"/>
        <v>19545.02024339229</v>
      </c>
      <c r="Z52" s="24">
        <f t="shared" si="8"/>
        <v>1306.6599975526333</v>
      </c>
      <c r="AA52" s="30">
        <v>1164.25</v>
      </c>
      <c r="AB52" s="30">
        <v>142.05999755859375</v>
      </c>
      <c r="AC52" s="30">
        <v>0.34999999403953552</v>
      </c>
      <c r="AD52" s="25">
        <f t="shared" si="9"/>
        <v>0</v>
      </c>
      <c r="AE52" s="26">
        <f t="shared" si="18"/>
        <v>0</v>
      </c>
      <c r="AF52" s="26">
        <f t="shared" si="19"/>
        <v>0</v>
      </c>
      <c r="AG52" s="26">
        <f t="shared" si="10"/>
        <v>0</v>
      </c>
      <c r="AH52" s="25">
        <f t="shared" si="11"/>
        <v>0</v>
      </c>
      <c r="AI52" s="25">
        <f t="shared" si="12"/>
        <v>0</v>
      </c>
      <c r="AJ52" s="25">
        <f t="shared" si="13"/>
        <v>0</v>
      </c>
      <c r="AK52" s="25">
        <f t="shared" si="14"/>
        <v>0</v>
      </c>
      <c r="BA52" s="34">
        <f t="shared" si="15"/>
        <v>17414851.5</v>
      </c>
      <c r="BB52" s="34">
        <f t="shared" si="16"/>
        <v>2124933.4434814453</v>
      </c>
      <c r="BC52" s="34">
        <f t="shared" si="17"/>
        <v>5235.2999108433723</v>
      </c>
    </row>
    <row r="53" spans="2:55">
      <c r="B53" s="2" t="s">
        <v>66</v>
      </c>
      <c r="C53" s="2" t="s">
        <v>67</v>
      </c>
      <c r="D53" s="2" t="s">
        <v>81</v>
      </c>
      <c r="E53" s="2" t="s">
        <v>79</v>
      </c>
      <c r="F53" s="2" t="s">
        <v>68</v>
      </c>
      <c r="G53" s="28" t="s">
        <v>80</v>
      </c>
      <c r="H53" s="2" t="s">
        <v>117</v>
      </c>
      <c r="I53" s="2" t="s">
        <v>117</v>
      </c>
      <c r="J53" s="2" t="s">
        <v>117</v>
      </c>
      <c r="K53" s="2" t="s">
        <v>69</v>
      </c>
      <c r="L53" s="2" t="s">
        <v>98</v>
      </c>
      <c r="M53" s="2" t="s">
        <v>86</v>
      </c>
      <c r="N53" s="2" t="s">
        <v>138</v>
      </c>
      <c r="O53" s="2" t="s">
        <v>117</v>
      </c>
      <c r="P53" s="2" t="s">
        <v>111</v>
      </c>
      <c r="Q53" s="31">
        <v>0</v>
      </c>
      <c r="R53" s="2" t="s">
        <v>117</v>
      </c>
      <c r="S53" s="2" t="s">
        <v>120</v>
      </c>
      <c r="T53" s="20">
        <v>46054</v>
      </c>
      <c r="U53" s="32">
        <v>1</v>
      </c>
      <c r="V53" s="32">
        <v>1</v>
      </c>
      <c r="W53" s="22">
        <f t="shared" si="6"/>
        <v>1</v>
      </c>
      <c r="X53" s="22">
        <v>23703</v>
      </c>
      <c r="Y53" s="23">
        <f t="shared" si="7"/>
        <v>39122.748375823976</v>
      </c>
      <c r="Z53" s="24">
        <f t="shared" si="8"/>
        <v>1650.5399475097656</v>
      </c>
      <c r="AA53" s="30">
        <v>1362.68994140625</v>
      </c>
      <c r="AB53" s="30">
        <v>198.3800048828125</v>
      </c>
      <c r="AC53" s="30">
        <v>89.470001220703125</v>
      </c>
      <c r="AD53" s="25">
        <f t="shared" si="9"/>
        <v>0</v>
      </c>
      <c r="AE53" s="26">
        <f t="shared" si="18"/>
        <v>0</v>
      </c>
      <c r="AF53" s="26">
        <f t="shared" si="19"/>
        <v>0</v>
      </c>
      <c r="AG53" s="26">
        <f t="shared" si="10"/>
        <v>0</v>
      </c>
      <c r="AH53" s="25">
        <f t="shared" si="11"/>
        <v>0</v>
      </c>
      <c r="AI53" s="25">
        <f t="shared" si="12"/>
        <v>0</v>
      </c>
      <c r="AJ53" s="25">
        <f t="shared" si="13"/>
        <v>0</v>
      </c>
      <c r="AK53" s="25">
        <f t="shared" si="14"/>
        <v>0</v>
      </c>
      <c r="BA53" s="34">
        <f t="shared" si="15"/>
        <v>32299839.681152344</v>
      </c>
      <c r="BB53" s="34">
        <f t="shared" si="16"/>
        <v>4702201.2557373047</v>
      </c>
      <c r="BC53" s="34">
        <f t="shared" si="17"/>
        <v>2120707.4389343262</v>
      </c>
    </row>
    <row r="54" spans="2:55">
      <c r="B54" s="2" t="s">
        <v>66</v>
      </c>
      <c r="C54" s="2" t="s">
        <v>67</v>
      </c>
      <c r="D54" s="2" t="s">
        <v>81</v>
      </c>
      <c r="E54" s="33" t="s">
        <v>79</v>
      </c>
      <c r="F54" s="2" t="s">
        <v>68</v>
      </c>
      <c r="G54" s="28" t="s">
        <v>80</v>
      </c>
      <c r="H54" s="2" t="s">
        <v>117</v>
      </c>
      <c r="I54" s="2" t="s">
        <v>117</v>
      </c>
      <c r="J54" s="2" t="s">
        <v>117</v>
      </c>
      <c r="K54" s="2" t="s">
        <v>69</v>
      </c>
      <c r="L54" s="2" t="s">
        <v>98</v>
      </c>
      <c r="M54" s="2" t="s">
        <v>87</v>
      </c>
      <c r="N54" s="2" t="s">
        <v>115</v>
      </c>
      <c r="O54" s="2" t="s">
        <v>117</v>
      </c>
      <c r="P54" s="2" t="s">
        <v>110</v>
      </c>
      <c r="Q54" s="31">
        <v>0</v>
      </c>
      <c r="R54" s="2" t="s">
        <v>117</v>
      </c>
      <c r="S54" s="2" t="s">
        <v>120</v>
      </c>
      <c r="T54" s="20">
        <v>46054</v>
      </c>
      <c r="U54" s="32">
        <v>1</v>
      </c>
      <c r="V54" s="32">
        <v>1</v>
      </c>
      <c r="W54" s="22">
        <f t="shared" si="6"/>
        <v>1</v>
      </c>
      <c r="X54" s="22">
        <v>34376</v>
      </c>
      <c r="Y54" s="23">
        <f t="shared" si="7"/>
        <v>51210.272502136228</v>
      </c>
      <c r="Z54" s="24">
        <f t="shared" si="8"/>
        <v>1489.7100448608398</v>
      </c>
      <c r="AA54" s="30">
        <v>1321.6700439453125</v>
      </c>
      <c r="AB54" s="30">
        <v>89.319999694824219</v>
      </c>
      <c r="AC54" s="30">
        <v>78.720001220703125</v>
      </c>
      <c r="AD54" s="25">
        <f t="shared" si="9"/>
        <v>0</v>
      </c>
      <c r="AE54" s="26">
        <f t="shared" si="18"/>
        <v>0</v>
      </c>
      <c r="AF54" s="26">
        <f t="shared" si="19"/>
        <v>0</v>
      </c>
      <c r="AG54" s="26">
        <f t="shared" si="10"/>
        <v>0</v>
      </c>
      <c r="AH54" s="25">
        <f t="shared" si="11"/>
        <v>0</v>
      </c>
      <c r="AI54" s="25">
        <f t="shared" si="12"/>
        <v>0</v>
      </c>
      <c r="AJ54" s="25">
        <f t="shared" si="13"/>
        <v>0</v>
      </c>
      <c r="AK54" s="25">
        <f t="shared" si="14"/>
        <v>0</v>
      </c>
      <c r="BA54" s="34">
        <f t="shared" si="15"/>
        <v>45433729.430664063</v>
      </c>
      <c r="BB54" s="34">
        <f t="shared" si="16"/>
        <v>3070464.3095092773</v>
      </c>
      <c r="BC54" s="34">
        <f t="shared" si="17"/>
        <v>2706078.7619628906</v>
      </c>
    </row>
    <row r="55" spans="2:55">
      <c r="B55" s="2" t="s">
        <v>129</v>
      </c>
      <c r="C55" s="2" t="s">
        <v>130</v>
      </c>
      <c r="D55" s="2" t="s">
        <v>81</v>
      </c>
      <c r="E55" s="33" t="s">
        <v>79</v>
      </c>
      <c r="F55" s="2" t="s">
        <v>68</v>
      </c>
      <c r="G55" s="28" t="s">
        <v>80</v>
      </c>
      <c r="H55" s="2" t="s">
        <v>117</v>
      </c>
      <c r="I55" s="2" t="s">
        <v>117</v>
      </c>
      <c r="J55" s="2" t="s">
        <v>117</v>
      </c>
      <c r="K55" s="2" t="s">
        <v>69</v>
      </c>
      <c r="L55" s="2" t="s">
        <v>127</v>
      </c>
      <c r="M55" s="2" t="s">
        <v>123</v>
      </c>
      <c r="N55" s="2" t="s">
        <v>115</v>
      </c>
      <c r="O55" s="2" t="s">
        <v>117</v>
      </c>
      <c r="P55" s="2" t="s">
        <v>111</v>
      </c>
      <c r="Q55" s="31"/>
      <c r="R55" s="2" t="s">
        <v>117</v>
      </c>
      <c r="S55" s="2" t="s">
        <v>120</v>
      </c>
      <c r="T55" s="20">
        <v>46054</v>
      </c>
      <c r="U55" s="32">
        <v>1</v>
      </c>
      <c r="V55" s="32">
        <v>1</v>
      </c>
      <c r="W55" s="22">
        <f t="shared" si="6"/>
        <v>1</v>
      </c>
      <c r="X55" s="22">
        <v>42696</v>
      </c>
      <c r="Y55" s="23">
        <f t="shared" si="7"/>
        <v>75186.373543395996</v>
      </c>
      <c r="Z55" s="24">
        <f t="shared" si="8"/>
        <v>1760.9699630737305</v>
      </c>
      <c r="AA55" s="30">
        <v>1496.7099609375</v>
      </c>
      <c r="AB55" s="30">
        <v>221.19000244140625</v>
      </c>
      <c r="AC55" s="30">
        <v>43.069999694824219</v>
      </c>
      <c r="AD55" s="25">
        <f t="shared" si="9"/>
        <v>0</v>
      </c>
      <c r="AE55" s="26">
        <f t="shared" si="18"/>
        <v>0</v>
      </c>
      <c r="AF55" s="26">
        <f t="shared" si="19"/>
        <v>0</v>
      </c>
      <c r="AG55" s="26">
        <f t="shared" si="10"/>
        <v>0</v>
      </c>
      <c r="AH55" s="25">
        <f t="shared" si="11"/>
        <v>0</v>
      </c>
      <c r="AI55" s="25">
        <f t="shared" si="12"/>
        <v>0</v>
      </c>
      <c r="AJ55" s="25">
        <f t="shared" si="13"/>
        <v>0</v>
      </c>
      <c r="AK55" s="25">
        <f t="shared" si="14"/>
        <v>0</v>
      </c>
      <c r="BA55" s="34">
        <f t="shared" si="15"/>
        <v>63903528.4921875</v>
      </c>
      <c r="BB55" s="34">
        <f t="shared" si="16"/>
        <v>9443928.3442382813</v>
      </c>
      <c r="BC55" s="34">
        <f t="shared" si="17"/>
        <v>1838916.7069702148</v>
      </c>
    </row>
    <row r="56" spans="2:55">
      <c r="B56" s="2" t="s">
        <v>66</v>
      </c>
      <c r="C56" s="2" t="s">
        <v>67</v>
      </c>
      <c r="D56" s="2" t="s">
        <v>81</v>
      </c>
      <c r="E56" s="33" t="s">
        <v>79</v>
      </c>
      <c r="F56" s="2" t="s">
        <v>68</v>
      </c>
      <c r="G56" s="28" t="s">
        <v>80</v>
      </c>
      <c r="H56" s="2" t="s">
        <v>117</v>
      </c>
      <c r="I56" s="2" t="s">
        <v>117</v>
      </c>
      <c r="J56" s="2" t="s">
        <v>117</v>
      </c>
      <c r="K56" s="2" t="s">
        <v>82</v>
      </c>
      <c r="L56" s="2" t="s">
        <v>99</v>
      </c>
      <c r="M56" s="2" t="s">
        <v>92</v>
      </c>
      <c r="N56" s="2" t="s">
        <v>115</v>
      </c>
      <c r="O56" s="2" t="s">
        <v>117</v>
      </c>
      <c r="P56" s="2" t="s">
        <v>110</v>
      </c>
      <c r="Q56" s="31">
        <v>0</v>
      </c>
      <c r="R56" s="2" t="s">
        <v>117</v>
      </c>
      <c r="S56" s="2" t="s">
        <v>107</v>
      </c>
      <c r="T56" s="20">
        <v>46054</v>
      </c>
      <c r="U56" s="32">
        <v>1</v>
      </c>
      <c r="V56" s="32">
        <v>1</v>
      </c>
      <c r="W56" s="22">
        <f t="shared" si="6"/>
        <v>1300</v>
      </c>
      <c r="X56" s="22">
        <v>14353</v>
      </c>
      <c r="Y56" s="23">
        <f t="shared" si="7"/>
        <v>25009.671708511352</v>
      </c>
      <c r="Z56" s="24">
        <f t="shared" si="8"/>
        <v>1742.4699859619141</v>
      </c>
      <c r="AA56" s="30">
        <v>1384.719970703125</v>
      </c>
      <c r="AB56" s="30">
        <v>278.70001220703125</v>
      </c>
      <c r="AC56" s="30">
        <v>79.050003051757813</v>
      </c>
      <c r="AD56" s="25">
        <f t="shared" si="9"/>
        <v>1340.3615276630107</v>
      </c>
      <c r="AE56" s="26">
        <f t="shared" si="18"/>
        <v>1279.5538330078125</v>
      </c>
      <c r="AF56" s="26">
        <f t="shared" si="19"/>
        <v>60.807694655198311</v>
      </c>
      <c r="AG56" s="26">
        <f t="shared" si="10"/>
        <v>0</v>
      </c>
      <c r="AH56" s="25">
        <f t="shared" si="11"/>
        <v>19.238209006547194</v>
      </c>
      <c r="AI56" s="25">
        <f t="shared" si="12"/>
        <v>18.365436165161132</v>
      </c>
      <c r="AJ56" s="25">
        <f t="shared" si="13"/>
        <v>0.87277284138606137</v>
      </c>
      <c r="AK56" s="25">
        <f t="shared" si="14"/>
        <v>0</v>
      </c>
      <c r="BA56" s="34">
        <f t="shared" si="15"/>
        <v>19874885.739501953</v>
      </c>
      <c r="BB56" s="34">
        <f t="shared" si="16"/>
        <v>4000181.2752075195</v>
      </c>
      <c r="BC56" s="34">
        <f t="shared" si="17"/>
        <v>1134604.6938018799</v>
      </c>
    </row>
    <row r="57" spans="2:55">
      <c r="B57" s="2" t="s">
        <v>66</v>
      </c>
      <c r="C57" s="2" t="s">
        <v>67</v>
      </c>
      <c r="D57" s="2" t="s">
        <v>81</v>
      </c>
      <c r="E57" s="2" t="s">
        <v>79</v>
      </c>
      <c r="F57" s="2" t="s">
        <v>68</v>
      </c>
      <c r="G57" s="28" t="s">
        <v>80</v>
      </c>
      <c r="H57" s="2" t="s">
        <v>117</v>
      </c>
      <c r="I57" s="2" t="s">
        <v>117</v>
      </c>
      <c r="J57" s="2" t="s">
        <v>117</v>
      </c>
      <c r="K57" s="2" t="s">
        <v>82</v>
      </c>
      <c r="L57" s="2" t="s">
        <v>99</v>
      </c>
      <c r="M57" s="2" t="s">
        <v>90</v>
      </c>
      <c r="N57" s="2" t="s">
        <v>115</v>
      </c>
      <c r="O57" s="2" t="s">
        <v>117</v>
      </c>
      <c r="P57" s="2" t="s">
        <v>111</v>
      </c>
      <c r="Q57" s="31">
        <v>0</v>
      </c>
      <c r="R57" s="2" t="s">
        <v>117</v>
      </c>
      <c r="S57" s="2" t="s">
        <v>101</v>
      </c>
      <c r="T57" s="20">
        <v>46054</v>
      </c>
      <c r="U57" s="32">
        <v>1</v>
      </c>
      <c r="V57" s="32">
        <v>1</v>
      </c>
      <c r="W57" s="22">
        <f t="shared" si="6"/>
        <v>1300</v>
      </c>
      <c r="X57" s="22">
        <v>32662</v>
      </c>
      <c r="Y57" s="23">
        <f t="shared" si="7"/>
        <v>51157.838441490174</v>
      </c>
      <c r="Z57" s="24">
        <f t="shared" si="8"/>
        <v>1566.2800331115723</v>
      </c>
      <c r="AA57" s="30">
        <v>1236.5400390625</v>
      </c>
      <c r="AB57" s="30">
        <v>298.39999389648438</v>
      </c>
      <c r="AC57" s="30">
        <v>31.340000152587891</v>
      </c>
      <c r="AD57" s="25">
        <f t="shared" si="9"/>
        <v>1204.8307947012095</v>
      </c>
      <c r="AE57" s="26">
        <f t="shared" si="18"/>
        <v>787.14873485076123</v>
      </c>
      <c r="AF57" s="26">
        <f t="shared" si="19"/>
        <v>24.107692425067608</v>
      </c>
      <c r="AG57" s="26">
        <f t="shared" si="10"/>
        <v>393.57436742538061</v>
      </c>
      <c r="AH57" s="25">
        <f t="shared" si="11"/>
        <v>39.352183416530906</v>
      </c>
      <c r="AI57" s="25">
        <f t="shared" si="12"/>
        <v>25.709851977695561</v>
      </c>
      <c r="AJ57" s="25">
        <f t="shared" si="13"/>
        <v>0.78740544998755824</v>
      </c>
      <c r="AK57" s="25">
        <f t="shared" si="14"/>
        <v>12.85492598884778</v>
      </c>
      <c r="BA57" s="34">
        <f t="shared" si="15"/>
        <v>40387870.755859375</v>
      </c>
      <c r="BB57" s="34">
        <f t="shared" si="16"/>
        <v>9746340.6006469727</v>
      </c>
      <c r="BC57" s="34">
        <f t="shared" si="17"/>
        <v>1023627.0849838257</v>
      </c>
    </row>
    <row r="58" spans="2:55">
      <c r="B58" s="2" t="s">
        <v>66</v>
      </c>
      <c r="C58" s="2" t="s">
        <v>67</v>
      </c>
      <c r="D58" s="2" t="s">
        <v>81</v>
      </c>
      <c r="E58" s="2" t="s">
        <v>79</v>
      </c>
      <c r="F58" s="2" t="s">
        <v>68</v>
      </c>
      <c r="G58" s="28" t="s">
        <v>80</v>
      </c>
      <c r="H58" s="2" t="s">
        <v>117</v>
      </c>
      <c r="I58" s="2" t="s">
        <v>117</v>
      </c>
      <c r="J58" s="2" t="s">
        <v>117</v>
      </c>
      <c r="K58" s="2" t="s">
        <v>82</v>
      </c>
      <c r="L58" s="2" t="s">
        <v>99</v>
      </c>
      <c r="M58" s="2" t="s">
        <v>90</v>
      </c>
      <c r="N58" s="2" t="s">
        <v>115</v>
      </c>
      <c r="O58" s="2" t="s">
        <v>117</v>
      </c>
      <c r="P58" s="2" t="s">
        <v>111</v>
      </c>
      <c r="Q58" s="31">
        <v>0</v>
      </c>
      <c r="R58" s="2" t="s">
        <v>117</v>
      </c>
      <c r="S58" s="2" t="s">
        <v>102</v>
      </c>
      <c r="T58" s="20">
        <v>46054</v>
      </c>
      <c r="U58" s="32">
        <v>1</v>
      </c>
      <c r="V58" s="32">
        <v>1</v>
      </c>
      <c r="W58" s="22">
        <f t="shared" si="6"/>
        <v>1300</v>
      </c>
      <c r="X58" s="22">
        <v>8723</v>
      </c>
      <c r="Y58" s="23">
        <f t="shared" si="7"/>
        <v>7248.1149110984807</v>
      </c>
      <c r="Z58" s="24">
        <f t="shared" si="8"/>
        <v>830.91997146606445</v>
      </c>
      <c r="AA58" s="30">
        <v>769.40997314453125</v>
      </c>
      <c r="AB58" s="30">
        <v>17.159999847412109</v>
      </c>
      <c r="AC58" s="30">
        <v>44.349998474121094</v>
      </c>
      <c r="AD58" s="25">
        <f t="shared" si="9"/>
        <v>639.16920882004956</v>
      </c>
      <c r="AE58" s="26">
        <f t="shared" si="18"/>
        <v>605.05382537841797</v>
      </c>
      <c r="AF58" s="26">
        <f t="shared" si="19"/>
        <v>34.115383441631614</v>
      </c>
      <c r="AG58" s="26">
        <f t="shared" si="10"/>
        <v>0</v>
      </c>
      <c r="AH58" s="25">
        <f t="shared" si="11"/>
        <v>5.5754730085372923</v>
      </c>
      <c r="AI58" s="25">
        <f t="shared" si="12"/>
        <v>5.2778845187759398</v>
      </c>
      <c r="AJ58" s="25">
        <f t="shared" si="13"/>
        <v>0.2975884897613526</v>
      </c>
      <c r="AK58" s="25">
        <f t="shared" si="14"/>
        <v>0</v>
      </c>
      <c r="BA58" s="34">
        <f t="shared" si="15"/>
        <v>6711563.1957397461</v>
      </c>
      <c r="BB58" s="34">
        <f t="shared" si="16"/>
        <v>149686.67866897583</v>
      </c>
      <c r="BC58" s="34">
        <f t="shared" si="17"/>
        <v>386865.0366897583</v>
      </c>
    </row>
    <row r="59" spans="2:55">
      <c r="B59" s="2" t="s">
        <v>66</v>
      </c>
      <c r="C59" s="2" t="s">
        <v>67</v>
      </c>
      <c r="D59" s="2" t="s">
        <v>81</v>
      </c>
      <c r="E59" s="2" t="s">
        <v>79</v>
      </c>
      <c r="F59" s="2" t="s">
        <v>68</v>
      </c>
      <c r="G59" s="28" t="s">
        <v>80</v>
      </c>
      <c r="H59" s="2" t="s">
        <v>117</v>
      </c>
      <c r="I59" s="2" t="s">
        <v>117</v>
      </c>
      <c r="J59" s="2" t="s">
        <v>117</v>
      </c>
      <c r="K59" s="2" t="s">
        <v>82</v>
      </c>
      <c r="L59" s="2" t="s">
        <v>99</v>
      </c>
      <c r="M59" s="2" t="s">
        <v>90</v>
      </c>
      <c r="N59" s="2" t="s">
        <v>115</v>
      </c>
      <c r="O59" s="2" t="s">
        <v>117</v>
      </c>
      <c r="P59" s="2" t="s">
        <v>111</v>
      </c>
      <c r="Q59" s="31">
        <v>0</v>
      </c>
      <c r="R59" s="2" t="s">
        <v>117</v>
      </c>
      <c r="S59" s="2" t="s">
        <v>139</v>
      </c>
      <c r="T59" s="20">
        <v>46054</v>
      </c>
      <c r="U59" s="32">
        <v>1</v>
      </c>
      <c r="V59" s="32">
        <v>1</v>
      </c>
      <c r="W59" s="22">
        <f t="shared" si="6"/>
        <v>1300</v>
      </c>
      <c r="X59" s="22">
        <v>4074</v>
      </c>
      <c r="Y59" s="23">
        <f t="shared" si="7"/>
        <v>5759.617375671387</v>
      </c>
      <c r="Z59" s="24">
        <f t="shared" si="8"/>
        <v>1413.7499694824219</v>
      </c>
      <c r="AA59" s="30">
        <v>1279.469970703125</v>
      </c>
      <c r="AB59" s="30">
        <v>95.55999755859375</v>
      </c>
      <c r="AC59" s="30">
        <v>38.720001220703125</v>
      </c>
      <c r="AD59" s="25">
        <f t="shared" si="9"/>
        <v>1087.4999765249397</v>
      </c>
      <c r="AE59" s="26">
        <f t="shared" si="18"/>
        <v>1057.715360201322</v>
      </c>
      <c r="AF59" s="26">
        <f t="shared" si="19"/>
        <v>29.78461632361779</v>
      </c>
      <c r="AG59" s="26">
        <f t="shared" si="10"/>
        <v>0</v>
      </c>
      <c r="AH59" s="25">
        <f t="shared" si="11"/>
        <v>4.4304749043626037</v>
      </c>
      <c r="AI59" s="25">
        <f t="shared" si="12"/>
        <v>4.3091323774601866</v>
      </c>
      <c r="AJ59" s="25">
        <f t="shared" si="13"/>
        <v>0.12134252690241887</v>
      </c>
      <c r="AK59" s="25">
        <f t="shared" si="14"/>
        <v>0</v>
      </c>
      <c r="BA59" s="34">
        <f t="shared" si="15"/>
        <v>5212560.6606445313</v>
      </c>
      <c r="BB59" s="34">
        <f t="shared" si="16"/>
        <v>389311.43005371094</v>
      </c>
      <c r="BC59" s="34">
        <f t="shared" si="17"/>
        <v>157745.28497314453</v>
      </c>
    </row>
    <row r="60" spans="2:55">
      <c r="B60" s="2" t="s">
        <v>66</v>
      </c>
      <c r="C60" s="2" t="s">
        <v>67</v>
      </c>
      <c r="D60" s="2" t="s">
        <v>81</v>
      </c>
      <c r="E60" s="2" t="s">
        <v>79</v>
      </c>
      <c r="F60" s="2" t="s">
        <v>68</v>
      </c>
      <c r="G60" s="28" t="s">
        <v>80</v>
      </c>
      <c r="H60" s="2" t="s">
        <v>117</v>
      </c>
      <c r="I60" s="2" t="s">
        <v>117</v>
      </c>
      <c r="J60" s="2" t="s">
        <v>117</v>
      </c>
      <c r="K60" s="2" t="s">
        <v>82</v>
      </c>
      <c r="L60" s="2" t="s">
        <v>99</v>
      </c>
      <c r="M60" s="2" t="s">
        <v>90</v>
      </c>
      <c r="N60" s="2" t="s">
        <v>115</v>
      </c>
      <c r="O60" s="2" t="s">
        <v>117</v>
      </c>
      <c r="P60" s="2" t="s">
        <v>111</v>
      </c>
      <c r="Q60" s="31">
        <v>0</v>
      </c>
      <c r="R60" s="2" t="s">
        <v>117</v>
      </c>
      <c r="S60" s="2" t="s">
        <v>106</v>
      </c>
      <c r="T60" s="20">
        <v>46054</v>
      </c>
      <c r="U60" s="32">
        <v>1</v>
      </c>
      <c r="V60" s="32">
        <v>1</v>
      </c>
      <c r="W60" s="22">
        <f t="shared" si="6"/>
        <v>1300</v>
      </c>
      <c r="X60" s="22">
        <v>15850</v>
      </c>
      <c r="Y60" s="23">
        <f t="shared" si="7"/>
        <v>14004.901608228683</v>
      </c>
      <c r="Z60" s="24">
        <f t="shared" si="8"/>
        <v>883.59000682830811</v>
      </c>
      <c r="AA60" s="30">
        <v>754.260009765625</v>
      </c>
      <c r="AB60" s="30">
        <v>116.37999725341797</v>
      </c>
      <c r="AC60" s="30">
        <v>12.949999809265137</v>
      </c>
      <c r="AD60" s="25">
        <f t="shared" si="9"/>
        <v>679.68462063716015</v>
      </c>
      <c r="AE60" s="26">
        <f t="shared" si="18"/>
        <v>669.72308232234082</v>
      </c>
      <c r="AF60" s="26">
        <f t="shared" si="19"/>
        <v>9.9615383148193359</v>
      </c>
      <c r="AG60" s="26">
        <f t="shared" si="10"/>
        <v>0</v>
      </c>
      <c r="AH60" s="25">
        <f t="shared" si="11"/>
        <v>10.773001237098988</v>
      </c>
      <c r="AI60" s="25">
        <f t="shared" si="12"/>
        <v>10.615110854809101</v>
      </c>
      <c r="AJ60" s="25">
        <f t="shared" si="13"/>
        <v>0.15789038228988647</v>
      </c>
      <c r="AK60" s="25">
        <f t="shared" si="14"/>
        <v>0</v>
      </c>
      <c r="BA60" s="34">
        <f t="shared" si="15"/>
        <v>11955021.154785156</v>
      </c>
      <c r="BB60" s="34">
        <f t="shared" si="16"/>
        <v>1844622.9564666748</v>
      </c>
      <c r="BC60" s="34">
        <f t="shared" si="17"/>
        <v>205257.49697685242</v>
      </c>
    </row>
    <row r="61" spans="2:55">
      <c r="B61" s="2" t="s">
        <v>66</v>
      </c>
      <c r="C61" s="2" t="s">
        <v>67</v>
      </c>
      <c r="D61" s="2" t="s">
        <v>81</v>
      </c>
      <c r="E61" s="2" t="s">
        <v>79</v>
      </c>
      <c r="F61" s="2" t="s">
        <v>68</v>
      </c>
      <c r="G61" s="28" t="s">
        <v>80</v>
      </c>
      <c r="H61" s="2" t="s">
        <v>117</v>
      </c>
      <c r="I61" s="2" t="s">
        <v>117</v>
      </c>
      <c r="J61" s="2" t="s">
        <v>117</v>
      </c>
      <c r="K61" s="2" t="s">
        <v>82</v>
      </c>
      <c r="L61" s="2" t="s">
        <v>99</v>
      </c>
      <c r="M61" s="2" t="s">
        <v>90</v>
      </c>
      <c r="N61" s="2" t="s">
        <v>115</v>
      </c>
      <c r="O61" s="2" t="s">
        <v>117</v>
      </c>
      <c r="P61" s="2" t="s">
        <v>111</v>
      </c>
      <c r="Q61" s="31">
        <v>0</v>
      </c>
      <c r="R61" s="2" t="s">
        <v>117</v>
      </c>
      <c r="S61" s="2" t="s">
        <v>105</v>
      </c>
      <c r="T61" s="20">
        <v>46054</v>
      </c>
      <c r="U61" s="32">
        <v>1</v>
      </c>
      <c r="V61" s="32">
        <v>1</v>
      </c>
      <c r="W61" s="22">
        <f t="shared" si="6"/>
        <v>1300</v>
      </c>
      <c r="X61" s="22">
        <v>24437</v>
      </c>
      <c r="Y61" s="23">
        <f t="shared" si="7"/>
        <v>36976.601978645325</v>
      </c>
      <c r="Z61" s="24">
        <f t="shared" si="8"/>
        <v>1513.1399917602539</v>
      </c>
      <c r="AA61" s="30">
        <v>1185.25</v>
      </c>
      <c r="AB61" s="30">
        <v>257.95999145507813</v>
      </c>
      <c r="AC61" s="30">
        <v>69.930000305175781</v>
      </c>
      <c r="AD61" s="25">
        <f t="shared" si="9"/>
        <v>1163.9538398155801</v>
      </c>
      <c r="AE61" s="26">
        <f t="shared" si="18"/>
        <v>1110.1615318885217</v>
      </c>
      <c r="AF61" s="26">
        <f t="shared" si="19"/>
        <v>53.792307927058296</v>
      </c>
      <c r="AG61" s="26">
        <f t="shared" si="10"/>
        <v>0</v>
      </c>
      <c r="AH61" s="25">
        <f t="shared" si="11"/>
        <v>28.443539983573327</v>
      </c>
      <c r="AI61" s="25">
        <f t="shared" si="12"/>
        <v>27.129017354759807</v>
      </c>
      <c r="AJ61" s="25">
        <f t="shared" si="13"/>
        <v>1.3145226288135237</v>
      </c>
      <c r="AK61" s="25">
        <f t="shared" si="14"/>
        <v>0</v>
      </c>
      <c r="BA61" s="34">
        <f t="shared" si="15"/>
        <v>28963954.25</v>
      </c>
      <c r="BB61" s="34">
        <f t="shared" si="16"/>
        <v>6303768.3111877441</v>
      </c>
      <c r="BC61" s="34">
        <f t="shared" si="17"/>
        <v>1708879.4174575806</v>
      </c>
    </row>
    <row r="62" spans="2:55">
      <c r="B62" s="2" t="s">
        <v>66</v>
      </c>
      <c r="C62" s="2" t="s">
        <v>67</v>
      </c>
      <c r="D62" s="2" t="s">
        <v>81</v>
      </c>
      <c r="E62" s="2" t="s">
        <v>79</v>
      </c>
      <c r="F62" s="2" t="s">
        <v>68</v>
      </c>
      <c r="G62" s="28" t="s">
        <v>80</v>
      </c>
      <c r="H62" s="2" t="s">
        <v>117</v>
      </c>
      <c r="I62" s="2" t="s">
        <v>117</v>
      </c>
      <c r="J62" s="2" t="s">
        <v>117</v>
      </c>
      <c r="K62" s="2" t="s">
        <v>82</v>
      </c>
      <c r="L62" s="2" t="s">
        <v>99</v>
      </c>
      <c r="M62" s="2" t="s">
        <v>90</v>
      </c>
      <c r="N62" s="2" t="s">
        <v>115</v>
      </c>
      <c r="O62" s="2" t="s">
        <v>117</v>
      </c>
      <c r="P62" s="2" t="s">
        <v>111</v>
      </c>
      <c r="Q62" s="31">
        <v>0</v>
      </c>
      <c r="R62" s="2" t="s">
        <v>117</v>
      </c>
      <c r="S62" s="2" t="s">
        <v>107</v>
      </c>
      <c r="T62" s="20">
        <v>46054</v>
      </c>
      <c r="U62" s="32">
        <v>1</v>
      </c>
      <c r="V62" s="32">
        <v>1</v>
      </c>
      <c r="W62" s="22">
        <f t="shared" si="6"/>
        <v>1300</v>
      </c>
      <c r="X62" s="22">
        <v>3630</v>
      </c>
      <c r="Y62" s="23">
        <f t="shared" si="7"/>
        <v>3599.1449169158936</v>
      </c>
      <c r="Z62" s="24">
        <f t="shared" si="8"/>
        <v>991.49997711181641</v>
      </c>
      <c r="AA62" s="30">
        <v>880.28997802734375</v>
      </c>
      <c r="AB62" s="30">
        <v>42.709999084472656</v>
      </c>
      <c r="AC62" s="30">
        <v>68.5</v>
      </c>
      <c r="AD62" s="25">
        <f t="shared" si="9"/>
        <v>762.69229008601258</v>
      </c>
      <c r="AE62" s="26">
        <f t="shared" si="18"/>
        <v>709.99998239370484</v>
      </c>
      <c r="AF62" s="26">
        <f t="shared" si="19"/>
        <v>52.692307692307693</v>
      </c>
      <c r="AG62" s="26">
        <f t="shared" si="10"/>
        <v>0</v>
      </c>
      <c r="AH62" s="25">
        <f t="shared" si="11"/>
        <v>2.7685730130122259</v>
      </c>
      <c r="AI62" s="25">
        <f t="shared" si="12"/>
        <v>2.5772999360891489</v>
      </c>
      <c r="AJ62" s="25">
        <f t="shared" si="13"/>
        <v>0.19127307692307693</v>
      </c>
      <c r="AK62" s="25">
        <f t="shared" si="14"/>
        <v>0</v>
      </c>
      <c r="BA62" s="34">
        <f t="shared" si="15"/>
        <v>3195452.6202392578</v>
      </c>
      <c r="BB62" s="34">
        <f t="shared" si="16"/>
        <v>155037.29667663574</v>
      </c>
      <c r="BC62" s="34">
        <f t="shared" si="17"/>
        <v>248655</v>
      </c>
    </row>
    <row r="63" spans="2:55">
      <c r="B63" s="2" t="s">
        <v>66</v>
      </c>
      <c r="C63" s="2" t="s">
        <v>67</v>
      </c>
      <c r="D63" s="2" t="s">
        <v>81</v>
      </c>
      <c r="E63" s="2" t="s">
        <v>79</v>
      </c>
      <c r="F63" s="2" t="s">
        <v>68</v>
      </c>
      <c r="G63" s="28" t="s">
        <v>80</v>
      </c>
      <c r="H63" s="2" t="s">
        <v>117</v>
      </c>
      <c r="I63" s="2" t="s">
        <v>117</v>
      </c>
      <c r="J63" s="2" t="s">
        <v>117</v>
      </c>
      <c r="K63" s="2" t="s">
        <v>82</v>
      </c>
      <c r="L63" s="2" t="s">
        <v>99</v>
      </c>
      <c r="M63" s="2" t="s">
        <v>90</v>
      </c>
      <c r="N63" s="2" t="s">
        <v>115</v>
      </c>
      <c r="O63" s="2" t="s">
        <v>117</v>
      </c>
      <c r="P63" s="2" t="s">
        <v>111</v>
      </c>
      <c r="Q63" s="31">
        <v>0</v>
      </c>
      <c r="R63" s="2" t="s">
        <v>117</v>
      </c>
      <c r="S63" s="2" t="s">
        <v>140</v>
      </c>
      <c r="T63" s="20">
        <v>46054</v>
      </c>
      <c r="U63" s="32">
        <v>1</v>
      </c>
      <c r="V63" s="32">
        <v>1</v>
      </c>
      <c r="W63" s="22">
        <f t="shared" si="6"/>
        <v>1300</v>
      </c>
      <c r="X63" s="22">
        <v>43287</v>
      </c>
      <c r="Y63" s="23">
        <f t="shared" si="7"/>
        <v>66519.133903951602</v>
      </c>
      <c r="Z63" s="24">
        <f t="shared" si="8"/>
        <v>1536.7000231929123</v>
      </c>
      <c r="AA63" s="30">
        <v>1376.1500244140625</v>
      </c>
      <c r="AB63" s="30">
        <v>160.52999877929688</v>
      </c>
      <c r="AC63" s="30">
        <v>1.9999999552965164E-2</v>
      </c>
      <c r="AD63" s="25">
        <f t="shared" si="9"/>
        <v>1182.0769409176248</v>
      </c>
      <c r="AE63" s="26">
        <f t="shared" si="18"/>
        <v>1182.061556302584</v>
      </c>
      <c r="AF63" s="26">
        <f t="shared" si="19"/>
        <v>1.5384615040742433E-2</v>
      </c>
      <c r="AG63" s="26">
        <f t="shared" si="10"/>
        <v>0</v>
      </c>
      <c r="AH63" s="25">
        <f t="shared" si="11"/>
        <v>51.168564541501226</v>
      </c>
      <c r="AI63" s="25">
        <f t="shared" si="12"/>
        <v>51.167898587669953</v>
      </c>
      <c r="AJ63" s="25">
        <f t="shared" si="13"/>
        <v>6.6595383126861769E-4</v>
      </c>
      <c r="AK63" s="25">
        <f t="shared" si="14"/>
        <v>0</v>
      </c>
      <c r="BA63" s="34">
        <f t="shared" si="15"/>
        <v>59569406.106811523</v>
      </c>
      <c r="BB63" s="34">
        <f t="shared" si="16"/>
        <v>6948862.0571594238</v>
      </c>
      <c r="BC63" s="34">
        <f t="shared" si="17"/>
        <v>865.73998064920306</v>
      </c>
    </row>
    <row r="64" spans="2:55">
      <c r="B64" s="2" t="s">
        <v>66</v>
      </c>
      <c r="C64" s="2" t="s">
        <v>67</v>
      </c>
      <c r="D64" s="2" t="s">
        <v>81</v>
      </c>
      <c r="E64" s="2" t="s">
        <v>79</v>
      </c>
      <c r="F64" s="2" t="s">
        <v>68</v>
      </c>
      <c r="G64" s="28" t="s">
        <v>80</v>
      </c>
      <c r="H64" s="2" t="s">
        <v>117</v>
      </c>
      <c r="I64" s="2" t="s">
        <v>117</v>
      </c>
      <c r="J64" s="2" t="s">
        <v>117</v>
      </c>
      <c r="K64" s="2" t="s">
        <v>82</v>
      </c>
      <c r="L64" s="2" t="s">
        <v>99</v>
      </c>
      <c r="M64" s="2" t="s">
        <v>90</v>
      </c>
      <c r="N64" s="2" t="s">
        <v>115</v>
      </c>
      <c r="O64" s="2" t="s">
        <v>117</v>
      </c>
      <c r="P64" s="2" t="s">
        <v>111</v>
      </c>
      <c r="Q64" s="31">
        <v>0</v>
      </c>
      <c r="R64" s="2" t="s">
        <v>117</v>
      </c>
      <c r="S64" s="2" t="s">
        <v>109</v>
      </c>
      <c r="T64" s="20">
        <v>46054</v>
      </c>
      <c r="U64" s="32">
        <v>1</v>
      </c>
      <c r="V64" s="32">
        <v>1</v>
      </c>
      <c r="W64" s="22">
        <f t="shared" si="6"/>
        <v>1300</v>
      </c>
      <c r="X64" s="22">
        <v>34489</v>
      </c>
      <c r="Y64" s="23">
        <f t="shared" si="7"/>
        <v>41668.575593109133</v>
      </c>
      <c r="Z64" s="24">
        <f t="shared" si="8"/>
        <v>1208.1700134277344</v>
      </c>
      <c r="AA64" s="30">
        <v>951.010009765625</v>
      </c>
      <c r="AB64" s="30">
        <v>167.21000671386719</v>
      </c>
      <c r="AC64" s="30">
        <v>89.949996948242188</v>
      </c>
      <c r="AD64" s="25">
        <f t="shared" si="9"/>
        <v>929.36154879056483</v>
      </c>
      <c r="AE64" s="26">
        <f t="shared" si="18"/>
        <v>860.16924344576319</v>
      </c>
      <c r="AF64" s="26">
        <f t="shared" si="19"/>
        <v>69.192305344801682</v>
      </c>
      <c r="AG64" s="26">
        <f t="shared" si="10"/>
        <v>0</v>
      </c>
      <c r="AH64" s="25">
        <f t="shared" si="11"/>
        <v>32.052750456237789</v>
      </c>
      <c r="AI64" s="25">
        <f t="shared" si="12"/>
        <v>29.666377037200927</v>
      </c>
      <c r="AJ64" s="25">
        <f t="shared" si="13"/>
        <v>2.3863734190368651</v>
      </c>
      <c r="AK64" s="25">
        <f t="shared" si="14"/>
        <v>0</v>
      </c>
      <c r="BA64" s="34">
        <f t="shared" si="15"/>
        <v>32799384.226806641</v>
      </c>
      <c r="BB64" s="34">
        <f t="shared" si="16"/>
        <v>5766905.9215545654</v>
      </c>
      <c r="BC64" s="34">
        <f t="shared" si="17"/>
        <v>3102285.4447479248</v>
      </c>
    </row>
    <row r="65" spans="2:55">
      <c r="B65" s="2" t="s">
        <v>66</v>
      </c>
      <c r="C65" s="2" t="s">
        <v>67</v>
      </c>
      <c r="D65" s="2" t="s">
        <v>81</v>
      </c>
      <c r="E65" s="2" t="s">
        <v>79</v>
      </c>
      <c r="F65" s="2" t="s">
        <v>68</v>
      </c>
      <c r="G65" s="2" t="s">
        <v>80</v>
      </c>
      <c r="H65" s="2" t="s">
        <v>117</v>
      </c>
      <c r="I65" s="2" t="s">
        <v>117</v>
      </c>
      <c r="J65" s="2" t="s">
        <v>117</v>
      </c>
      <c r="K65" s="2" t="s">
        <v>82</v>
      </c>
      <c r="L65" s="2" t="s">
        <v>99</v>
      </c>
      <c r="M65" s="2" t="s">
        <v>90</v>
      </c>
      <c r="N65" s="2" t="s">
        <v>115</v>
      </c>
      <c r="O65" s="2" t="s">
        <v>117</v>
      </c>
      <c r="P65" s="2" t="s">
        <v>111</v>
      </c>
      <c r="Q65" s="31">
        <v>0</v>
      </c>
      <c r="R65" s="2" t="s">
        <v>117</v>
      </c>
      <c r="S65" s="2" t="s">
        <v>108</v>
      </c>
      <c r="T65" s="20">
        <v>46054</v>
      </c>
      <c r="U65" s="32">
        <v>1</v>
      </c>
      <c r="V65" s="32">
        <v>1</v>
      </c>
      <c r="W65" s="22">
        <f t="shared" si="6"/>
        <v>1300</v>
      </c>
      <c r="X65" s="22">
        <v>17192</v>
      </c>
      <c r="Y65" s="23">
        <f t="shared" si="7"/>
        <v>22680.02921166992</v>
      </c>
      <c r="Z65" s="24">
        <f t="shared" si="8"/>
        <v>1319.2199401855469</v>
      </c>
      <c r="AA65" s="30">
        <v>1136.93994140625</v>
      </c>
      <c r="AB65" s="30">
        <v>157.91999816894531</v>
      </c>
      <c r="AC65" s="30">
        <v>24.360000610351563</v>
      </c>
      <c r="AD65" s="25">
        <f t="shared" si="9"/>
        <v>1014.7845693734977</v>
      </c>
      <c r="AE65" s="26">
        <f t="shared" si="18"/>
        <v>996.04610736553491</v>
      </c>
      <c r="AF65" s="26">
        <f t="shared" si="19"/>
        <v>18.738462007962738</v>
      </c>
      <c r="AG65" s="26">
        <f t="shared" si="10"/>
        <v>0</v>
      </c>
      <c r="AH65" s="25">
        <f t="shared" si="11"/>
        <v>17.446176316669174</v>
      </c>
      <c r="AI65" s="25">
        <f t="shared" si="12"/>
        <v>17.124024677828274</v>
      </c>
      <c r="AJ65" s="25">
        <f t="shared" si="13"/>
        <v>0.32215163884089537</v>
      </c>
      <c r="AK65" s="25">
        <f t="shared" si="14"/>
        <v>0</v>
      </c>
      <c r="BA65" s="34">
        <f t="shared" si="15"/>
        <v>19546271.47265625</v>
      </c>
      <c r="BB65" s="34">
        <f t="shared" si="16"/>
        <v>2714960.6085205078</v>
      </c>
      <c r="BC65" s="34">
        <f t="shared" si="17"/>
        <v>418797.13049316406</v>
      </c>
    </row>
    <row r="66" spans="2:55">
      <c r="B66" s="2" t="s">
        <v>66</v>
      </c>
      <c r="C66" s="2" t="s">
        <v>67</v>
      </c>
      <c r="D66" s="2" t="s">
        <v>81</v>
      </c>
      <c r="E66" s="2" t="s">
        <v>79</v>
      </c>
      <c r="F66" s="2" t="s">
        <v>68</v>
      </c>
      <c r="G66" s="2" t="s">
        <v>80</v>
      </c>
      <c r="H66" s="2" t="s">
        <v>117</v>
      </c>
      <c r="I66" s="2" t="s">
        <v>117</v>
      </c>
      <c r="J66" s="2" t="s">
        <v>117</v>
      </c>
      <c r="K66" s="2" t="s">
        <v>82</v>
      </c>
      <c r="L66" s="2" t="s">
        <v>99</v>
      </c>
      <c r="M66" s="2" t="s">
        <v>90</v>
      </c>
      <c r="N66" s="2" t="s">
        <v>115</v>
      </c>
      <c r="O66" s="2" t="s">
        <v>117</v>
      </c>
      <c r="P66" s="2" t="s">
        <v>111</v>
      </c>
      <c r="Q66" s="31">
        <v>0</v>
      </c>
      <c r="R66" s="2" t="s">
        <v>117</v>
      </c>
      <c r="S66" s="2" t="s">
        <v>103</v>
      </c>
      <c r="T66" s="20">
        <v>46054</v>
      </c>
      <c r="U66" s="32">
        <v>1</v>
      </c>
      <c r="V66" s="32">
        <v>1</v>
      </c>
      <c r="W66" s="22">
        <f t="shared" si="6"/>
        <v>1300</v>
      </c>
      <c r="X66" s="22">
        <v>40385</v>
      </c>
      <c r="Y66" s="23">
        <f t="shared" si="7"/>
        <v>62580.59810961187</v>
      </c>
      <c r="Z66" s="24">
        <f t="shared" si="8"/>
        <v>1549.6000522375107</v>
      </c>
      <c r="AA66" s="30">
        <v>1432.4300537109375</v>
      </c>
      <c r="AB66" s="30">
        <v>115.59999847412109</v>
      </c>
      <c r="AC66" s="30">
        <v>1.5700000524520874</v>
      </c>
      <c r="AD66" s="25">
        <f t="shared" si="9"/>
        <v>1192.0000401827006</v>
      </c>
      <c r="AE66" s="26">
        <f t="shared" si="18"/>
        <v>1190.7923478346604</v>
      </c>
      <c r="AF66" s="26">
        <f t="shared" si="19"/>
        <v>1.2076923480400672</v>
      </c>
      <c r="AG66" s="26">
        <f t="shared" si="10"/>
        <v>0</v>
      </c>
      <c r="AH66" s="25">
        <f t="shared" si="11"/>
        <v>48.138921622778362</v>
      </c>
      <c r="AI66" s="25">
        <f t="shared" si="12"/>
        <v>48.09014896730276</v>
      </c>
      <c r="AJ66" s="25">
        <f t="shared" si="13"/>
        <v>4.8772655475598115E-2</v>
      </c>
      <c r="AK66" s="25">
        <f t="shared" si="14"/>
        <v>0</v>
      </c>
      <c r="BA66" s="34">
        <f t="shared" si="15"/>
        <v>57848687.719116211</v>
      </c>
      <c r="BB66" s="34">
        <f t="shared" si="16"/>
        <v>4668505.9383773804</v>
      </c>
      <c r="BC66" s="34">
        <f t="shared" si="17"/>
        <v>63404.45211827755</v>
      </c>
    </row>
    <row r="67" spans="2:55">
      <c r="B67" s="2" t="s">
        <v>66</v>
      </c>
      <c r="C67" s="2" t="s">
        <v>67</v>
      </c>
      <c r="D67" s="2" t="s">
        <v>81</v>
      </c>
      <c r="E67" s="2" t="s">
        <v>79</v>
      </c>
      <c r="F67" s="2" t="s">
        <v>68</v>
      </c>
      <c r="G67" s="2" t="s">
        <v>80</v>
      </c>
      <c r="H67" s="2" t="s">
        <v>117</v>
      </c>
      <c r="I67" s="2" t="s">
        <v>117</v>
      </c>
      <c r="J67" s="2" t="s">
        <v>117</v>
      </c>
      <c r="K67" s="2" t="s">
        <v>82</v>
      </c>
      <c r="L67" s="2" t="s">
        <v>99</v>
      </c>
      <c r="M67" s="2" t="s">
        <v>90</v>
      </c>
      <c r="N67" s="2" t="s">
        <v>115</v>
      </c>
      <c r="O67" s="2" t="s">
        <v>117</v>
      </c>
      <c r="P67" s="2" t="s">
        <v>111</v>
      </c>
      <c r="Q67" s="31">
        <v>0</v>
      </c>
      <c r="R67" s="2" t="s">
        <v>117</v>
      </c>
      <c r="S67" s="2" t="s">
        <v>104</v>
      </c>
      <c r="T67" s="20">
        <v>46054</v>
      </c>
      <c r="U67" s="32">
        <v>1</v>
      </c>
      <c r="V67" s="32">
        <v>1</v>
      </c>
      <c r="W67" s="22">
        <f t="shared" si="6"/>
        <v>1300</v>
      </c>
      <c r="X67" s="22">
        <v>34749</v>
      </c>
      <c r="Y67" s="23">
        <f t="shared" si="7"/>
        <v>57611.75678030491</v>
      </c>
      <c r="Z67" s="24">
        <f t="shared" si="8"/>
        <v>1657.9399919509888</v>
      </c>
      <c r="AA67" s="30">
        <v>1414.8699951171875</v>
      </c>
      <c r="AB67" s="30">
        <v>234.44999694824219</v>
      </c>
      <c r="AC67" s="30">
        <v>8.619999885559082</v>
      </c>
      <c r="AD67" s="25">
        <f t="shared" si="9"/>
        <v>1275.3384553469143</v>
      </c>
      <c r="AE67" s="26">
        <f t="shared" si="18"/>
        <v>1268.7076862041765</v>
      </c>
      <c r="AF67" s="26">
        <f t="shared" si="19"/>
        <v>6.6307691427377558</v>
      </c>
      <c r="AG67" s="26">
        <f t="shared" si="10"/>
        <v>0</v>
      </c>
      <c r="AH67" s="25">
        <f t="shared" si="11"/>
        <v>44.31673598484992</v>
      </c>
      <c r="AI67" s="25">
        <f t="shared" si="12"/>
        <v>44.086323387908926</v>
      </c>
      <c r="AJ67" s="25">
        <f t="shared" si="13"/>
        <v>0.23041259694099425</v>
      </c>
      <c r="AK67" s="25">
        <f t="shared" si="14"/>
        <v>0</v>
      </c>
      <c r="BA67" s="34">
        <f t="shared" si="15"/>
        <v>49165317.460327148</v>
      </c>
      <c r="BB67" s="34">
        <f t="shared" si="16"/>
        <v>8146902.9439544678</v>
      </c>
      <c r="BC67" s="34">
        <f t="shared" si="17"/>
        <v>299536.37602329254</v>
      </c>
    </row>
    <row r="68" spans="2:55">
      <c r="B68" s="2" t="s">
        <v>66</v>
      </c>
      <c r="C68" s="2" t="s">
        <v>67</v>
      </c>
      <c r="D68" s="2" t="s">
        <v>81</v>
      </c>
      <c r="E68" s="2" t="s">
        <v>79</v>
      </c>
      <c r="F68" s="2" t="s">
        <v>68</v>
      </c>
      <c r="G68" s="2" t="s">
        <v>80</v>
      </c>
      <c r="H68" s="2" t="s">
        <v>117</v>
      </c>
      <c r="I68" s="2" t="s">
        <v>117</v>
      </c>
      <c r="J68" s="2" t="s">
        <v>117</v>
      </c>
      <c r="K68" s="2" t="s">
        <v>82</v>
      </c>
      <c r="L68" s="2" t="s">
        <v>99</v>
      </c>
      <c r="M68" s="2" t="s">
        <v>91</v>
      </c>
      <c r="N68" s="2" t="s">
        <v>115</v>
      </c>
      <c r="O68" s="2" t="s">
        <v>117</v>
      </c>
      <c r="P68" s="2" t="s">
        <v>111</v>
      </c>
      <c r="Q68" s="31">
        <v>0</v>
      </c>
      <c r="R68" s="2" t="s">
        <v>117</v>
      </c>
      <c r="S68" s="2" t="s">
        <v>101</v>
      </c>
      <c r="T68" s="20">
        <v>46054</v>
      </c>
      <c r="U68" s="32">
        <v>1</v>
      </c>
      <c r="V68" s="32">
        <v>1</v>
      </c>
      <c r="W68" s="22">
        <f t="shared" si="6"/>
        <v>1300</v>
      </c>
      <c r="X68" s="22">
        <v>47808</v>
      </c>
      <c r="Y68" s="23">
        <f t="shared" si="7"/>
        <v>76220.769810058599</v>
      </c>
      <c r="Z68" s="24">
        <f t="shared" si="8"/>
        <v>1594.309944152832</v>
      </c>
      <c r="AA68" s="30">
        <v>1453.0699462890625</v>
      </c>
      <c r="AB68" s="30">
        <v>118.30999755859375</v>
      </c>
      <c r="AC68" s="30">
        <v>22.930000305175781</v>
      </c>
      <c r="AD68" s="25">
        <f t="shared" si="9"/>
        <v>1226.3922647329478</v>
      </c>
      <c r="AE68" s="26">
        <f t="shared" si="18"/>
        <v>805.83586863982373</v>
      </c>
      <c r="AF68" s="26">
        <f t="shared" si="19"/>
        <v>17.638461773212139</v>
      </c>
      <c r="AG68" s="26">
        <f t="shared" si="10"/>
        <v>402.91793431991186</v>
      </c>
      <c r="AH68" s="25">
        <f t="shared" si="11"/>
        <v>58.631361392352765</v>
      </c>
      <c r="AI68" s="25">
        <f t="shared" si="12"/>
        <v>38.525401207932696</v>
      </c>
      <c r="AJ68" s="25">
        <f t="shared" si="13"/>
        <v>0.84325958045372595</v>
      </c>
      <c r="AK68" s="25">
        <f t="shared" si="14"/>
        <v>19.262700603966348</v>
      </c>
      <c r="BA68" s="34">
        <f t="shared" si="15"/>
        <v>69468367.9921875</v>
      </c>
      <c r="BB68" s="34">
        <f t="shared" si="16"/>
        <v>5656164.36328125</v>
      </c>
      <c r="BC68" s="34">
        <f t="shared" si="17"/>
        <v>1096237.4545898438</v>
      </c>
    </row>
    <row r="69" spans="2:55">
      <c r="B69" s="2" t="s">
        <v>66</v>
      </c>
      <c r="C69" s="2" t="s">
        <v>67</v>
      </c>
      <c r="D69" s="2" t="s">
        <v>81</v>
      </c>
      <c r="E69" s="2" t="s">
        <v>79</v>
      </c>
      <c r="F69" s="2" t="s">
        <v>68</v>
      </c>
      <c r="G69" s="2" t="s">
        <v>80</v>
      </c>
      <c r="H69" s="2" t="s">
        <v>117</v>
      </c>
      <c r="I69" s="2" t="s">
        <v>117</v>
      </c>
      <c r="J69" s="2" t="s">
        <v>117</v>
      </c>
      <c r="K69" s="2" t="s">
        <v>82</v>
      </c>
      <c r="L69" s="2" t="s">
        <v>99</v>
      </c>
      <c r="M69" s="2" t="s">
        <v>91</v>
      </c>
      <c r="N69" s="2" t="s">
        <v>115</v>
      </c>
      <c r="O69" s="2" t="s">
        <v>117</v>
      </c>
      <c r="P69" s="2" t="s">
        <v>111</v>
      </c>
      <c r="Q69" s="31">
        <v>0</v>
      </c>
      <c r="R69" s="2" t="s">
        <v>117</v>
      </c>
      <c r="S69" s="2" t="s">
        <v>102</v>
      </c>
      <c r="T69" s="20">
        <v>46054</v>
      </c>
      <c r="U69" s="32">
        <v>1</v>
      </c>
      <c r="V69" s="32">
        <v>1</v>
      </c>
      <c r="W69" s="22">
        <f t="shared" si="6"/>
        <v>1300</v>
      </c>
      <c r="X69" s="22">
        <v>41590</v>
      </c>
      <c r="Y69" s="23">
        <f t="shared" si="7"/>
        <v>58751.696622695919</v>
      </c>
      <c r="Z69" s="24">
        <f t="shared" si="8"/>
        <v>1412.6399765014648</v>
      </c>
      <c r="AA69" s="30">
        <v>1219.719970703125</v>
      </c>
      <c r="AB69" s="30">
        <v>154.1300048828125</v>
      </c>
      <c r="AC69" s="30">
        <v>38.790000915527344</v>
      </c>
      <c r="AD69" s="25">
        <f t="shared" si="9"/>
        <v>1086.6461357703574</v>
      </c>
      <c r="AE69" s="26">
        <f t="shared" si="18"/>
        <v>1056.8076735276441</v>
      </c>
      <c r="AF69" s="26">
        <f t="shared" si="19"/>
        <v>29.838462242713341</v>
      </c>
      <c r="AG69" s="26">
        <f t="shared" si="10"/>
        <v>0</v>
      </c>
      <c r="AH69" s="25">
        <f t="shared" si="11"/>
        <v>45.193612786689165</v>
      </c>
      <c r="AI69" s="25">
        <f t="shared" si="12"/>
        <v>43.952631142014717</v>
      </c>
      <c r="AJ69" s="25">
        <f t="shared" si="13"/>
        <v>1.2409816446744479</v>
      </c>
      <c r="AK69" s="25">
        <f t="shared" si="14"/>
        <v>0</v>
      </c>
      <c r="BA69" s="34">
        <f t="shared" si="15"/>
        <v>50728153.581542969</v>
      </c>
      <c r="BB69" s="34">
        <f t="shared" si="16"/>
        <v>6410266.9030761719</v>
      </c>
      <c r="BC69" s="34">
        <f t="shared" si="17"/>
        <v>1613276.1380767822</v>
      </c>
    </row>
    <row r="70" spans="2:55">
      <c r="B70" s="2" t="s">
        <v>66</v>
      </c>
      <c r="C70" s="2" t="s">
        <v>67</v>
      </c>
      <c r="D70" s="2" t="s">
        <v>81</v>
      </c>
      <c r="E70" s="2" t="s">
        <v>79</v>
      </c>
      <c r="F70" s="2" t="s">
        <v>68</v>
      </c>
      <c r="G70" s="2" t="s">
        <v>80</v>
      </c>
      <c r="H70" s="2" t="s">
        <v>117</v>
      </c>
      <c r="I70" s="2" t="s">
        <v>117</v>
      </c>
      <c r="J70" s="2" t="s">
        <v>117</v>
      </c>
      <c r="K70" s="2" t="s">
        <v>82</v>
      </c>
      <c r="L70" s="2" t="s">
        <v>99</v>
      </c>
      <c r="M70" s="2" t="s">
        <v>91</v>
      </c>
      <c r="N70" s="2" t="s">
        <v>115</v>
      </c>
      <c r="O70" s="2" t="s">
        <v>117</v>
      </c>
      <c r="P70" s="2" t="s">
        <v>111</v>
      </c>
      <c r="Q70" s="31">
        <v>0</v>
      </c>
      <c r="R70" s="2" t="s">
        <v>117</v>
      </c>
      <c r="S70" s="2" t="s">
        <v>139</v>
      </c>
      <c r="T70" s="20">
        <v>46054</v>
      </c>
      <c r="U70" s="32">
        <v>1</v>
      </c>
      <c r="V70" s="32">
        <v>1</v>
      </c>
      <c r="W70" s="22">
        <f t="shared" si="6"/>
        <v>1300</v>
      </c>
      <c r="X70" s="22">
        <v>2779</v>
      </c>
      <c r="Y70" s="23">
        <f t="shared" si="7"/>
        <v>3010.546295053482</v>
      </c>
      <c r="Z70" s="24">
        <f t="shared" si="8"/>
        <v>1083.3200054168701</v>
      </c>
      <c r="AA70" s="30">
        <v>803.95001220703125</v>
      </c>
      <c r="AB70" s="30">
        <v>260.42999267578125</v>
      </c>
      <c r="AC70" s="30">
        <v>18.940000534057617</v>
      </c>
      <c r="AD70" s="25">
        <f t="shared" si="9"/>
        <v>833.32308108990014</v>
      </c>
      <c r="AE70" s="26">
        <f t="shared" si="18"/>
        <v>818.75384990985583</v>
      </c>
      <c r="AF70" s="26">
        <f t="shared" si="19"/>
        <v>14.569231180044321</v>
      </c>
      <c r="AG70" s="26">
        <f t="shared" si="10"/>
        <v>0</v>
      </c>
      <c r="AH70" s="25">
        <f t="shared" si="11"/>
        <v>2.3158048423488324</v>
      </c>
      <c r="AI70" s="25">
        <f t="shared" si="12"/>
        <v>2.2753169488994893</v>
      </c>
      <c r="AJ70" s="25">
        <f t="shared" si="13"/>
        <v>4.0487893449343164E-2</v>
      </c>
      <c r="AK70" s="25">
        <f t="shared" si="14"/>
        <v>0</v>
      </c>
      <c r="BA70" s="34">
        <f t="shared" si="15"/>
        <v>2234177.0839233398</v>
      </c>
      <c r="BB70" s="34">
        <f t="shared" si="16"/>
        <v>723734.94964599609</v>
      </c>
      <c r="BC70" s="34">
        <f t="shared" si="17"/>
        <v>52634.261484146118</v>
      </c>
    </row>
    <row r="71" spans="2:55">
      <c r="B71" s="2" t="s">
        <v>66</v>
      </c>
      <c r="C71" s="2" t="s">
        <v>67</v>
      </c>
      <c r="D71" s="2" t="s">
        <v>81</v>
      </c>
      <c r="E71" s="2" t="s">
        <v>79</v>
      </c>
      <c r="F71" s="2" t="s">
        <v>68</v>
      </c>
      <c r="G71" s="2" t="s">
        <v>80</v>
      </c>
      <c r="H71" s="2" t="s">
        <v>117</v>
      </c>
      <c r="I71" s="2" t="s">
        <v>117</v>
      </c>
      <c r="J71" s="2" t="s">
        <v>117</v>
      </c>
      <c r="K71" s="2" t="s">
        <v>82</v>
      </c>
      <c r="L71" s="2" t="s">
        <v>99</v>
      </c>
      <c r="M71" s="2" t="s">
        <v>91</v>
      </c>
      <c r="N71" s="2" t="s">
        <v>115</v>
      </c>
      <c r="O71" s="2" t="s">
        <v>117</v>
      </c>
      <c r="P71" s="2" t="s">
        <v>111</v>
      </c>
      <c r="Q71" s="31">
        <v>0</v>
      </c>
      <c r="R71" s="2" t="s">
        <v>117</v>
      </c>
      <c r="S71" s="2" t="s">
        <v>106</v>
      </c>
      <c r="T71" s="20">
        <v>46054</v>
      </c>
      <c r="U71" s="32">
        <v>1</v>
      </c>
      <c r="V71" s="32">
        <v>1</v>
      </c>
      <c r="W71" s="22">
        <f t="shared" ref="W71:W134" si="20">IF(K71="내수", 1, 1300)</f>
        <v>1300</v>
      </c>
      <c r="X71" s="22">
        <v>15375</v>
      </c>
      <c r="Y71" s="23">
        <f t="shared" ref="Y71:Y134" si="21">X71*Z71/1000</f>
        <v>23148.600093841553</v>
      </c>
      <c r="Z71" s="24">
        <f t="shared" ref="Z71:Z134" si="22">AA71+AB71+AC71</f>
        <v>1505.6000061035156</v>
      </c>
      <c r="AA71" s="30">
        <v>1223.760009765625</v>
      </c>
      <c r="AB71" s="30">
        <v>210.67999267578125</v>
      </c>
      <c r="AC71" s="30">
        <v>71.160003662109375</v>
      </c>
      <c r="AD71" s="25">
        <f t="shared" ref="AD71:AD134" si="23">AE71+AF71+AG71</f>
        <v>1158.1538508488582</v>
      </c>
      <c r="AE71" s="26">
        <f t="shared" ref="AE71:AE134" si="24">IF(K71="내수",,IF(S71="미국",((AA71+AB71)*2/3)/W71*1000,(AA71+AB71)/W71*1000))</f>
        <v>1103.4153864933894</v>
      </c>
      <c r="AF71" s="26">
        <f t="shared" ref="AF71:AF134" si="25">IF(K71="내수",,AC71/W71*1000)</f>
        <v>54.73846435546875</v>
      </c>
      <c r="AG71" s="26">
        <f t="shared" ref="AG71:AG134" si="26">IF(S71="미국", AE71/2,)</f>
        <v>0</v>
      </c>
      <c r="AH71" s="25">
        <f t="shared" ref="AH71:AH134" si="27">IF($K71="수출",AD71*$X71/1000000,)</f>
        <v>17.806615456801193</v>
      </c>
      <c r="AI71" s="25">
        <f t="shared" ref="AI71:AI134" si="28">IF($K71="수출",AE71*$X71/1000000,)</f>
        <v>16.965011567335864</v>
      </c>
      <c r="AJ71" s="25">
        <f t="shared" ref="AJ71:AJ134" si="29">IF($K71="수출",AF71*$X71/1000000,)</f>
        <v>0.84160388946533204</v>
      </c>
      <c r="AK71" s="25">
        <f t="shared" ref="AK71:AK134" si="30">IF($K71="수출",AG71*$X71/1000000,)</f>
        <v>0</v>
      </c>
      <c r="BA71" s="34">
        <f t="shared" ref="BA71:BA134" si="31">AA71*X71</f>
        <v>18815310.150146484</v>
      </c>
      <c r="BB71" s="34">
        <f t="shared" ref="BB71:BB134" si="32">AB71*X71</f>
        <v>3239204.8873901367</v>
      </c>
      <c r="BC71" s="34">
        <f t="shared" ref="BC71:BC134" si="33">AC71*X71</f>
        <v>1094085.0563049316</v>
      </c>
    </row>
    <row r="72" spans="2:55">
      <c r="B72" s="2" t="s">
        <v>66</v>
      </c>
      <c r="C72" s="2" t="s">
        <v>67</v>
      </c>
      <c r="D72" s="2" t="s">
        <v>81</v>
      </c>
      <c r="E72" s="2" t="s">
        <v>79</v>
      </c>
      <c r="F72" s="2" t="s">
        <v>68</v>
      </c>
      <c r="G72" s="2" t="s">
        <v>80</v>
      </c>
      <c r="H72" s="2" t="s">
        <v>117</v>
      </c>
      <c r="I72" s="2" t="s">
        <v>117</v>
      </c>
      <c r="J72" s="2" t="s">
        <v>117</v>
      </c>
      <c r="K72" s="2" t="s">
        <v>82</v>
      </c>
      <c r="L72" s="2" t="s">
        <v>99</v>
      </c>
      <c r="M72" s="2" t="s">
        <v>91</v>
      </c>
      <c r="N72" s="2" t="s">
        <v>115</v>
      </c>
      <c r="O72" s="2" t="s">
        <v>117</v>
      </c>
      <c r="P72" s="2" t="s">
        <v>111</v>
      </c>
      <c r="Q72" s="31">
        <v>0</v>
      </c>
      <c r="R72" s="2" t="s">
        <v>117</v>
      </c>
      <c r="S72" s="2" t="s">
        <v>105</v>
      </c>
      <c r="T72" s="20">
        <v>46054</v>
      </c>
      <c r="U72" s="32">
        <v>1</v>
      </c>
      <c r="V72" s="32">
        <v>1</v>
      </c>
      <c r="W72" s="22">
        <f t="shared" si="20"/>
        <v>1300</v>
      </c>
      <c r="X72" s="22">
        <v>45848</v>
      </c>
      <c r="Y72" s="23">
        <f t="shared" si="21"/>
        <v>55941.435171203615</v>
      </c>
      <c r="Z72" s="24">
        <f t="shared" si="22"/>
        <v>1220.1499557495117</v>
      </c>
      <c r="AA72" s="30">
        <v>1138.5799560546875</v>
      </c>
      <c r="AB72" s="30">
        <v>31.770000457763672</v>
      </c>
      <c r="AC72" s="30">
        <v>49.799999237060547</v>
      </c>
      <c r="AD72" s="25">
        <f t="shared" si="23"/>
        <v>938.57688903808594</v>
      </c>
      <c r="AE72" s="26">
        <f t="shared" si="24"/>
        <v>900.26919731727014</v>
      </c>
      <c r="AF72" s="26">
        <f t="shared" si="25"/>
        <v>38.307691720815811</v>
      </c>
      <c r="AG72" s="26">
        <f t="shared" si="26"/>
        <v>0</v>
      </c>
      <c r="AH72" s="25">
        <f t="shared" si="27"/>
        <v>43.031873208618165</v>
      </c>
      <c r="AI72" s="25">
        <f t="shared" si="28"/>
        <v>41.2755421586022</v>
      </c>
      <c r="AJ72" s="25">
        <f t="shared" si="29"/>
        <v>1.7563310500159635</v>
      </c>
      <c r="AK72" s="25">
        <f t="shared" si="30"/>
        <v>0</v>
      </c>
      <c r="BA72" s="34">
        <f t="shared" si="31"/>
        <v>52201613.825195313</v>
      </c>
      <c r="BB72" s="34">
        <f t="shared" si="32"/>
        <v>1456590.9809875488</v>
      </c>
      <c r="BC72" s="34">
        <f t="shared" si="33"/>
        <v>2283230.365020752</v>
      </c>
    </row>
    <row r="73" spans="2:55">
      <c r="B73" s="2" t="s">
        <v>66</v>
      </c>
      <c r="C73" s="2" t="s">
        <v>67</v>
      </c>
      <c r="D73" s="2" t="s">
        <v>81</v>
      </c>
      <c r="E73" s="2" t="s">
        <v>79</v>
      </c>
      <c r="F73" s="2" t="s">
        <v>68</v>
      </c>
      <c r="G73" s="2" t="s">
        <v>80</v>
      </c>
      <c r="H73" s="2" t="s">
        <v>117</v>
      </c>
      <c r="I73" s="2" t="s">
        <v>117</v>
      </c>
      <c r="J73" s="2" t="s">
        <v>117</v>
      </c>
      <c r="K73" s="2" t="s">
        <v>82</v>
      </c>
      <c r="L73" s="2" t="s">
        <v>99</v>
      </c>
      <c r="M73" s="2" t="s">
        <v>91</v>
      </c>
      <c r="N73" s="2" t="s">
        <v>115</v>
      </c>
      <c r="O73" s="2" t="s">
        <v>117</v>
      </c>
      <c r="P73" s="2" t="s">
        <v>111</v>
      </c>
      <c r="Q73" s="31">
        <v>0</v>
      </c>
      <c r="R73" s="2" t="s">
        <v>117</v>
      </c>
      <c r="S73" s="2" t="s">
        <v>107</v>
      </c>
      <c r="T73" s="20">
        <v>46054</v>
      </c>
      <c r="U73" s="32">
        <v>1</v>
      </c>
      <c r="V73" s="32">
        <v>1</v>
      </c>
      <c r="W73" s="22">
        <f t="shared" si="20"/>
        <v>1300</v>
      </c>
      <c r="X73" s="22">
        <v>40796</v>
      </c>
      <c r="Y73" s="23">
        <f t="shared" si="21"/>
        <v>49834.761349151609</v>
      </c>
      <c r="Z73" s="24">
        <f t="shared" si="22"/>
        <v>1221.5599899291992</v>
      </c>
      <c r="AA73" s="30">
        <v>961.739990234375</v>
      </c>
      <c r="AB73" s="30">
        <v>177.47000122070313</v>
      </c>
      <c r="AC73" s="30">
        <v>82.349998474121094</v>
      </c>
      <c r="AD73" s="25">
        <f t="shared" si="23"/>
        <v>939.66153071476867</v>
      </c>
      <c r="AE73" s="26">
        <f t="shared" si="24"/>
        <v>876.3153780423678</v>
      </c>
      <c r="AF73" s="26">
        <f t="shared" si="25"/>
        <v>63.346152672400848</v>
      </c>
      <c r="AG73" s="26">
        <f t="shared" si="26"/>
        <v>0</v>
      </c>
      <c r="AH73" s="25">
        <f t="shared" si="27"/>
        <v>38.334431807039699</v>
      </c>
      <c r="AI73" s="25">
        <f t="shared" si="28"/>
        <v>35.750162162616441</v>
      </c>
      <c r="AJ73" s="25">
        <f t="shared" si="29"/>
        <v>2.5842696444232649</v>
      </c>
      <c r="AK73" s="25">
        <f t="shared" si="30"/>
        <v>0</v>
      </c>
      <c r="BA73" s="34">
        <f t="shared" si="31"/>
        <v>39235144.641601563</v>
      </c>
      <c r="BB73" s="34">
        <f t="shared" si="32"/>
        <v>7240066.1697998047</v>
      </c>
      <c r="BC73" s="34">
        <f t="shared" si="33"/>
        <v>3359550.5377502441</v>
      </c>
    </row>
    <row r="74" spans="2:55">
      <c r="B74" s="2" t="s">
        <v>66</v>
      </c>
      <c r="C74" s="2" t="s">
        <v>67</v>
      </c>
      <c r="D74" s="2" t="s">
        <v>81</v>
      </c>
      <c r="E74" s="2" t="s">
        <v>79</v>
      </c>
      <c r="F74" s="2" t="s">
        <v>68</v>
      </c>
      <c r="G74" s="2" t="s">
        <v>80</v>
      </c>
      <c r="H74" s="2" t="s">
        <v>117</v>
      </c>
      <c r="I74" s="2" t="s">
        <v>117</v>
      </c>
      <c r="J74" s="2" t="s">
        <v>117</v>
      </c>
      <c r="K74" s="2" t="s">
        <v>82</v>
      </c>
      <c r="L74" s="2" t="s">
        <v>99</v>
      </c>
      <c r="M74" s="2" t="s">
        <v>91</v>
      </c>
      <c r="N74" s="2" t="s">
        <v>115</v>
      </c>
      <c r="O74" s="2" t="s">
        <v>117</v>
      </c>
      <c r="P74" s="2" t="s">
        <v>111</v>
      </c>
      <c r="Q74" s="31">
        <v>0</v>
      </c>
      <c r="R74" s="2" t="s">
        <v>117</v>
      </c>
      <c r="S74" s="2" t="s">
        <v>140</v>
      </c>
      <c r="T74" s="20">
        <v>46054</v>
      </c>
      <c r="U74" s="32">
        <v>1</v>
      </c>
      <c r="V74" s="32">
        <v>1</v>
      </c>
      <c r="W74" s="22">
        <f t="shared" si="20"/>
        <v>1300</v>
      </c>
      <c r="X74" s="22">
        <v>37099</v>
      </c>
      <c r="Y74" s="23">
        <f t="shared" si="21"/>
        <v>39725.979391818997</v>
      </c>
      <c r="Z74" s="24">
        <f t="shared" si="22"/>
        <v>1070.8099784851074</v>
      </c>
      <c r="AA74" s="30">
        <v>772.97998046875</v>
      </c>
      <c r="AB74" s="30">
        <v>276.80999755859375</v>
      </c>
      <c r="AC74" s="30">
        <v>21.020000457763672</v>
      </c>
      <c r="AD74" s="25">
        <f t="shared" si="23"/>
        <v>823.69998345008264</v>
      </c>
      <c r="AE74" s="26">
        <f t="shared" si="24"/>
        <v>807.53075232872595</v>
      </c>
      <c r="AF74" s="26">
        <f t="shared" si="25"/>
        <v>16.16923112135667</v>
      </c>
      <c r="AG74" s="26">
        <f t="shared" si="26"/>
        <v>0</v>
      </c>
      <c r="AH74" s="25">
        <f t="shared" si="27"/>
        <v>30.558445686014615</v>
      </c>
      <c r="AI74" s="25">
        <f t="shared" si="28"/>
        <v>29.958583380643404</v>
      </c>
      <c r="AJ74" s="25">
        <f t="shared" si="29"/>
        <v>0.5998623053712111</v>
      </c>
      <c r="AK74" s="25">
        <f t="shared" si="30"/>
        <v>0</v>
      </c>
      <c r="BA74" s="34">
        <f t="shared" si="31"/>
        <v>28676784.295410156</v>
      </c>
      <c r="BB74" s="34">
        <f t="shared" si="32"/>
        <v>10269374.09942627</v>
      </c>
      <c r="BC74" s="34">
        <f t="shared" si="33"/>
        <v>779820.99698257446</v>
      </c>
    </row>
    <row r="75" spans="2:55">
      <c r="B75" s="2" t="s">
        <v>66</v>
      </c>
      <c r="C75" s="2" t="s">
        <v>67</v>
      </c>
      <c r="D75" s="2" t="s">
        <v>81</v>
      </c>
      <c r="E75" s="2" t="s">
        <v>79</v>
      </c>
      <c r="F75" s="2" t="s">
        <v>68</v>
      </c>
      <c r="G75" s="2" t="s">
        <v>80</v>
      </c>
      <c r="H75" s="2" t="s">
        <v>117</v>
      </c>
      <c r="I75" s="2" t="s">
        <v>117</v>
      </c>
      <c r="J75" s="2" t="s">
        <v>117</v>
      </c>
      <c r="K75" s="2" t="s">
        <v>82</v>
      </c>
      <c r="L75" s="2" t="s">
        <v>99</v>
      </c>
      <c r="M75" s="2" t="s">
        <v>91</v>
      </c>
      <c r="N75" s="2" t="s">
        <v>115</v>
      </c>
      <c r="O75" s="2" t="s">
        <v>117</v>
      </c>
      <c r="P75" s="2" t="s">
        <v>111</v>
      </c>
      <c r="Q75" s="31">
        <v>0</v>
      </c>
      <c r="R75" s="2" t="s">
        <v>117</v>
      </c>
      <c r="S75" s="2" t="s">
        <v>109</v>
      </c>
      <c r="T75" s="20">
        <v>46054</v>
      </c>
      <c r="U75" s="32">
        <v>1</v>
      </c>
      <c r="V75" s="32">
        <v>1</v>
      </c>
      <c r="W75" s="22">
        <f t="shared" si="20"/>
        <v>1300</v>
      </c>
      <c r="X75" s="22">
        <v>34577</v>
      </c>
      <c r="Y75" s="23">
        <f t="shared" si="21"/>
        <v>31389.000771471023</v>
      </c>
      <c r="Z75" s="24">
        <f t="shared" si="22"/>
        <v>907.80000495910645</v>
      </c>
      <c r="AA75" s="30">
        <v>830.94000244140625</v>
      </c>
      <c r="AB75" s="30">
        <v>57.580001831054688</v>
      </c>
      <c r="AC75" s="30">
        <v>19.280000686645508</v>
      </c>
      <c r="AD75" s="25">
        <f t="shared" si="23"/>
        <v>698.30769612238964</v>
      </c>
      <c r="AE75" s="26">
        <f t="shared" si="24"/>
        <v>683.47692636343152</v>
      </c>
      <c r="AF75" s="26">
        <f t="shared" si="25"/>
        <v>14.830769758958082</v>
      </c>
      <c r="AG75" s="26">
        <f t="shared" si="26"/>
        <v>0</v>
      </c>
      <c r="AH75" s="25">
        <f t="shared" si="27"/>
        <v>24.145385208823868</v>
      </c>
      <c r="AI75" s="25">
        <f t="shared" si="28"/>
        <v>23.632581682868373</v>
      </c>
      <c r="AJ75" s="25">
        <f t="shared" si="29"/>
        <v>0.51280352595549361</v>
      </c>
      <c r="AK75" s="25">
        <f t="shared" si="30"/>
        <v>0</v>
      </c>
      <c r="BA75" s="34">
        <f t="shared" si="31"/>
        <v>28731412.464416504</v>
      </c>
      <c r="BB75" s="34">
        <f t="shared" si="32"/>
        <v>1990943.7233123779</v>
      </c>
      <c r="BC75" s="34">
        <f t="shared" si="33"/>
        <v>666644.58374214172</v>
      </c>
    </row>
    <row r="76" spans="2:55">
      <c r="B76" s="2" t="s">
        <v>66</v>
      </c>
      <c r="C76" s="2" t="s">
        <v>67</v>
      </c>
      <c r="D76" s="2" t="s">
        <v>81</v>
      </c>
      <c r="E76" s="2" t="s">
        <v>79</v>
      </c>
      <c r="F76" s="2" t="s">
        <v>68</v>
      </c>
      <c r="G76" s="2" t="s">
        <v>80</v>
      </c>
      <c r="H76" s="2" t="s">
        <v>117</v>
      </c>
      <c r="I76" s="2" t="s">
        <v>117</v>
      </c>
      <c r="J76" s="2" t="s">
        <v>117</v>
      </c>
      <c r="K76" s="2" t="s">
        <v>82</v>
      </c>
      <c r="L76" s="2" t="s">
        <v>99</v>
      </c>
      <c r="M76" s="2" t="s">
        <v>91</v>
      </c>
      <c r="N76" s="2" t="s">
        <v>115</v>
      </c>
      <c r="O76" s="2" t="s">
        <v>117</v>
      </c>
      <c r="P76" s="2" t="s">
        <v>111</v>
      </c>
      <c r="Q76" s="31">
        <v>0</v>
      </c>
      <c r="R76" s="2" t="s">
        <v>117</v>
      </c>
      <c r="S76" s="2" t="s">
        <v>108</v>
      </c>
      <c r="T76" s="20">
        <v>46054</v>
      </c>
      <c r="U76" s="32">
        <v>1</v>
      </c>
      <c r="V76" s="32">
        <v>1</v>
      </c>
      <c r="W76" s="22">
        <f t="shared" si="20"/>
        <v>1300</v>
      </c>
      <c r="X76" s="22">
        <v>31146</v>
      </c>
      <c r="Y76" s="23">
        <f t="shared" si="21"/>
        <v>48706.427372085571</v>
      </c>
      <c r="Z76" s="24">
        <f t="shared" si="22"/>
        <v>1563.8100357055664</v>
      </c>
      <c r="AA76" s="30">
        <v>1485.6600341796875</v>
      </c>
      <c r="AB76" s="30">
        <v>44.720001220703125</v>
      </c>
      <c r="AC76" s="30">
        <v>33.430000305175781</v>
      </c>
      <c r="AD76" s="25">
        <f t="shared" si="23"/>
        <v>1202.9307966965896</v>
      </c>
      <c r="AE76" s="26">
        <f t="shared" si="24"/>
        <v>1177.2154118464543</v>
      </c>
      <c r="AF76" s="26">
        <f t="shared" si="25"/>
        <v>25.715384850135216</v>
      </c>
      <c r="AG76" s="26">
        <f t="shared" si="26"/>
        <v>0</v>
      </c>
      <c r="AH76" s="25">
        <f t="shared" si="27"/>
        <v>37.466482593911984</v>
      </c>
      <c r="AI76" s="25">
        <f t="shared" si="28"/>
        <v>36.665551217369668</v>
      </c>
      <c r="AJ76" s="25">
        <f t="shared" si="29"/>
        <v>0.80093137654231139</v>
      </c>
      <c r="AK76" s="25">
        <f t="shared" si="30"/>
        <v>0</v>
      </c>
      <c r="BA76" s="34">
        <f t="shared" si="31"/>
        <v>46272367.424560547</v>
      </c>
      <c r="BB76" s="34">
        <f t="shared" si="32"/>
        <v>1392849.1580200195</v>
      </c>
      <c r="BC76" s="34">
        <f t="shared" si="33"/>
        <v>1041210.7895050049</v>
      </c>
    </row>
    <row r="77" spans="2:55">
      <c r="B77" s="2" t="s">
        <v>66</v>
      </c>
      <c r="C77" s="2" t="s">
        <v>67</v>
      </c>
      <c r="D77" s="2" t="s">
        <v>81</v>
      </c>
      <c r="E77" s="2" t="s">
        <v>79</v>
      </c>
      <c r="F77" s="2" t="s">
        <v>68</v>
      </c>
      <c r="G77" s="2" t="s">
        <v>80</v>
      </c>
      <c r="H77" s="2" t="s">
        <v>117</v>
      </c>
      <c r="I77" s="2" t="s">
        <v>117</v>
      </c>
      <c r="J77" s="2" t="s">
        <v>117</v>
      </c>
      <c r="K77" s="2" t="s">
        <v>82</v>
      </c>
      <c r="L77" s="2" t="s">
        <v>99</v>
      </c>
      <c r="M77" s="2" t="s">
        <v>91</v>
      </c>
      <c r="N77" s="2" t="s">
        <v>115</v>
      </c>
      <c r="O77" s="2" t="s">
        <v>117</v>
      </c>
      <c r="P77" s="2" t="s">
        <v>111</v>
      </c>
      <c r="Q77" s="31">
        <v>0</v>
      </c>
      <c r="R77" s="2" t="s">
        <v>117</v>
      </c>
      <c r="S77" s="2" t="s">
        <v>103</v>
      </c>
      <c r="T77" s="20">
        <v>46054</v>
      </c>
      <c r="U77" s="32">
        <v>1</v>
      </c>
      <c r="V77" s="32">
        <v>1</v>
      </c>
      <c r="W77" s="22">
        <f t="shared" si="20"/>
        <v>1300</v>
      </c>
      <c r="X77" s="22">
        <v>20474</v>
      </c>
      <c r="Y77" s="23">
        <f t="shared" si="21"/>
        <v>24037.908861343385</v>
      </c>
      <c r="Z77" s="24">
        <f t="shared" si="22"/>
        <v>1174.0699844360352</v>
      </c>
      <c r="AA77" s="30">
        <v>891.1099853515625</v>
      </c>
      <c r="AB77" s="30">
        <v>233.77999877929688</v>
      </c>
      <c r="AC77" s="30">
        <v>49.180000305175781</v>
      </c>
      <c r="AD77" s="25">
        <f t="shared" si="23"/>
        <v>903.13075725848853</v>
      </c>
      <c r="AE77" s="26">
        <f t="shared" si="24"/>
        <v>865.29998779296875</v>
      </c>
      <c r="AF77" s="26">
        <f t="shared" si="25"/>
        <v>37.830769465519829</v>
      </c>
      <c r="AG77" s="26">
        <f t="shared" si="26"/>
        <v>0</v>
      </c>
      <c r="AH77" s="25">
        <f t="shared" si="27"/>
        <v>18.490699124110293</v>
      </c>
      <c r="AI77" s="25">
        <f t="shared" si="28"/>
        <v>17.716151950073243</v>
      </c>
      <c r="AJ77" s="25">
        <f t="shared" si="29"/>
        <v>0.77454717403705298</v>
      </c>
      <c r="AK77" s="25">
        <f t="shared" si="30"/>
        <v>0</v>
      </c>
      <c r="BA77" s="34">
        <f t="shared" si="31"/>
        <v>18244585.840087891</v>
      </c>
      <c r="BB77" s="34">
        <f t="shared" si="32"/>
        <v>4786411.6950073242</v>
      </c>
      <c r="BC77" s="34">
        <f t="shared" si="33"/>
        <v>1006911.3262481689</v>
      </c>
    </row>
    <row r="78" spans="2:55">
      <c r="B78" s="2" t="s">
        <v>66</v>
      </c>
      <c r="C78" s="2" t="s">
        <v>67</v>
      </c>
      <c r="D78" s="2" t="s">
        <v>81</v>
      </c>
      <c r="E78" s="2" t="s">
        <v>79</v>
      </c>
      <c r="F78" s="2" t="s">
        <v>68</v>
      </c>
      <c r="G78" s="2" t="s">
        <v>80</v>
      </c>
      <c r="H78" s="2" t="s">
        <v>117</v>
      </c>
      <c r="I78" s="2" t="s">
        <v>117</v>
      </c>
      <c r="J78" s="2" t="s">
        <v>117</v>
      </c>
      <c r="K78" s="2" t="s">
        <v>82</v>
      </c>
      <c r="L78" s="2" t="s">
        <v>99</v>
      </c>
      <c r="M78" s="2" t="s">
        <v>91</v>
      </c>
      <c r="N78" s="2" t="s">
        <v>115</v>
      </c>
      <c r="O78" s="2" t="s">
        <v>117</v>
      </c>
      <c r="P78" s="2" t="s">
        <v>111</v>
      </c>
      <c r="Q78" s="31">
        <v>0</v>
      </c>
      <c r="R78" s="2" t="s">
        <v>117</v>
      </c>
      <c r="S78" s="2" t="s">
        <v>104</v>
      </c>
      <c r="T78" s="20">
        <v>46054</v>
      </c>
      <c r="U78" s="32">
        <v>1</v>
      </c>
      <c r="V78" s="32">
        <v>1</v>
      </c>
      <c r="W78" s="22">
        <f t="shared" si="20"/>
        <v>1300</v>
      </c>
      <c r="X78" s="22">
        <v>2135</v>
      </c>
      <c r="Y78" s="23">
        <f t="shared" si="21"/>
        <v>2114.0557040786744</v>
      </c>
      <c r="Z78" s="24">
        <f t="shared" si="22"/>
        <v>990.19002532958984</v>
      </c>
      <c r="AA78" s="30">
        <v>917.6500244140625</v>
      </c>
      <c r="AB78" s="30">
        <v>39.360000610351563</v>
      </c>
      <c r="AC78" s="30">
        <v>33.180000305175781</v>
      </c>
      <c r="AD78" s="25">
        <f t="shared" si="23"/>
        <v>761.68463486891528</v>
      </c>
      <c r="AE78" s="26">
        <f t="shared" si="24"/>
        <v>736.16155771108777</v>
      </c>
      <c r="AF78" s="26">
        <f t="shared" si="25"/>
        <v>25.523077157827522</v>
      </c>
      <c r="AG78" s="26">
        <f t="shared" si="26"/>
        <v>0</v>
      </c>
      <c r="AH78" s="25">
        <f t="shared" si="27"/>
        <v>1.6261966954451341</v>
      </c>
      <c r="AI78" s="25">
        <f t="shared" si="28"/>
        <v>1.5717049257131723</v>
      </c>
      <c r="AJ78" s="25">
        <f t="shared" si="29"/>
        <v>5.4491769731961757E-2</v>
      </c>
      <c r="AK78" s="25">
        <f t="shared" si="30"/>
        <v>0</v>
      </c>
      <c r="BA78" s="34">
        <f t="shared" si="31"/>
        <v>1959182.8021240234</v>
      </c>
      <c r="BB78" s="34">
        <f t="shared" si="32"/>
        <v>84033.601303100586</v>
      </c>
      <c r="BC78" s="34">
        <f t="shared" si="33"/>
        <v>70839.300651550293</v>
      </c>
    </row>
    <row r="79" spans="2:55">
      <c r="B79" s="2" t="s">
        <v>66</v>
      </c>
      <c r="C79" s="2" t="s">
        <v>67</v>
      </c>
      <c r="D79" s="2" t="s">
        <v>81</v>
      </c>
      <c r="E79" s="2" t="s">
        <v>79</v>
      </c>
      <c r="F79" s="2" t="s">
        <v>68</v>
      </c>
      <c r="G79" s="2" t="s">
        <v>80</v>
      </c>
      <c r="H79" s="2" t="s">
        <v>117</v>
      </c>
      <c r="I79" s="2" t="s">
        <v>117</v>
      </c>
      <c r="J79" s="2" t="s">
        <v>117</v>
      </c>
      <c r="K79" s="2" t="s">
        <v>69</v>
      </c>
      <c r="L79" s="2" t="s">
        <v>97</v>
      </c>
      <c r="M79" s="2" t="s">
        <v>88</v>
      </c>
      <c r="N79" s="2" t="s">
        <v>118</v>
      </c>
      <c r="O79" s="2" t="s">
        <v>117</v>
      </c>
      <c r="P79" s="2" t="s">
        <v>111</v>
      </c>
      <c r="Q79" s="31" t="s">
        <v>131</v>
      </c>
      <c r="R79" s="2" t="s">
        <v>117</v>
      </c>
      <c r="S79" s="2" t="s">
        <v>120</v>
      </c>
      <c r="T79" s="20">
        <v>46082</v>
      </c>
      <c r="U79" s="32">
        <v>1</v>
      </c>
      <c r="V79" s="32">
        <v>1</v>
      </c>
      <c r="W79" s="22">
        <f t="shared" si="20"/>
        <v>1</v>
      </c>
      <c r="X79" s="22">
        <v>4271</v>
      </c>
      <c r="Y79" s="23">
        <f t="shared" si="21"/>
        <v>5948.0509693231579</v>
      </c>
      <c r="Z79" s="24">
        <f t="shared" si="22"/>
        <v>1392.6600255966187</v>
      </c>
      <c r="AA79" s="30">
        <v>1264.530029296875</v>
      </c>
      <c r="AB79" s="30">
        <v>118.51999664306641</v>
      </c>
      <c r="AC79" s="30">
        <v>9.6099996566772461</v>
      </c>
      <c r="AD79" s="25">
        <f t="shared" si="23"/>
        <v>0</v>
      </c>
      <c r="AE79" s="26">
        <f t="shared" si="24"/>
        <v>0</v>
      </c>
      <c r="AF79" s="26">
        <f t="shared" si="25"/>
        <v>0</v>
      </c>
      <c r="AG79" s="26">
        <f t="shared" si="26"/>
        <v>0</v>
      </c>
      <c r="AH79" s="25">
        <f t="shared" si="27"/>
        <v>0</v>
      </c>
      <c r="AI79" s="25">
        <f t="shared" si="28"/>
        <v>0</v>
      </c>
      <c r="AJ79" s="25">
        <f t="shared" si="29"/>
        <v>0</v>
      </c>
      <c r="AK79" s="25">
        <f t="shared" si="30"/>
        <v>0</v>
      </c>
      <c r="BA79" s="34">
        <f t="shared" si="31"/>
        <v>5400807.7551269531</v>
      </c>
      <c r="BB79" s="34">
        <f t="shared" si="32"/>
        <v>506198.90566253662</v>
      </c>
      <c r="BC79" s="34">
        <f t="shared" si="33"/>
        <v>41044.308533668518</v>
      </c>
    </row>
    <row r="80" spans="2:55">
      <c r="B80" s="2" t="s">
        <v>66</v>
      </c>
      <c r="C80" s="2" t="s">
        <v>67</v>
      </c>
      <c r="D80" s="2" t="s">
        <v>81</v>
      </c>
      <c r="E80" s="2" t="s">
        <v>79</v>
      </c>
      <c r="F80" s="2" t="s">
        <v>68</v>
      </c>
      <c r="G80" s="2" t="s">
        <v>80</v>
      </c>
      <c r="H80" s="2" t="s">
        <v>117</v>
      </c>
      <c r="I80" s="2" t="s">
        <v>117</v>
      </c>
      <c r="J80" s="2" t="s">
        <v>117</v>
      </c>
      <c r="K80" s="2" t="s">
        <v>69</v>
      </c>
      <c r="L80" s="2" t="s">
        <v>97</v>
      </c>
      <c r="M80" s="2" t="s">
        <v>88</v>
      </c>
      <c r="N80" s="2" t="s">
        <v>118</v>
      </c>
      <c r="O80" s="2" t="s">
        <v>117</v>
      </c>
      <c r="P80" s="2" t="s">
        <v>111</v>
      </c>
      <c r="Q80" s="31" t="s">
        <v>132</v>
      </c>
      <c r="R80" s="2" t="s">
        <v>117</v>
      </c>
      <c r="S80" s="2" t="s">
        <v>120</v>
      </c>
      <c r="T80" s="20">
        <v>46082</v>
      </c>
      <c r="U80" s="32">
        <v>1</v>
      </c>
      <c r="V80" s="32">
        <v>1</v>
      </c>
      <c r="W80" s="22">
        <f t="shared" si="20"/>
        <v>1</v>
      </c>
      <c r="X80" s="22">
        <v>18743</v>
      </c>
      <c r="Y80" s="23">
        <f t="shared" si="21"/>
        <v>20681.401168678283</v>
      </c>
      <c r="Z80" s="24">
        <f t="shared" si="22"/>
        <v>1103.4200057983398</v>
      </c>
      <c r="AA80" s="30">
        <v>972.44000244140625</v>
      </c>
      <c r="AB80" s="30">
        <v>69.260002136230469</v>
      </c>
      <c r="AC80" s="30">
        <v>61.720001220703125</v>
      </c>
      <c r="AD80" s="25">
        <f t="shared" si="23"/>
        <v>0</v>
      </c>
      <c r="AE80" s="26">
        <f t="shared" si="24"/>
        <v>0</v>
      </c>
      <c r="AF80" s="26">
        <f t="shared" si="25"/>
        <v>0</v>
      </c>
      <c r="AG80" s="26">
        <f t="shared" si="26"/>
        <v>0</v>
      </c>
      <c r="AH80" s="25">
        <f t="shared" si="27"/>
        <v>0</v>
      </c>
      <c r="AI80" s="25">
        <f t="shared" si="28"/>
        <v>0</v>
      </c>
      <c r="AJ80" s="25">
        <f t="shared" si="29"/>
        <v>0</v>
      </c>
      <c r="AK80" s="25">
        <f t="shared" si="30"/>
        <v>0</v>
      </c>
      <c r="BA80" s="34">
        <f t="shared" si="31"/>
        <v>18226442.965759277</v>
      </c>
      <c r="BB80" s="34">
        <f t="shared" si="32"/>
        <v>1298140.2200393677</v>
      </c>
      <c r="BC80" s="34">
        <f t="shared" si="33"/>
        <v>1156817.9828796387</v>
      </c>
    </row>
    <row r="81" spans="2:55">
      <c r="B81" s="2" t="s">
        <v>66</v>
      </c>
      <c r="C81" s="2" t="s">
        <v>67</v>
      </c>
      <c r="D81" s="2" t="s">
        <v>81</v>
      </c>
      <c r="E81" s="2" t="s">
        <v>79</v>
      </c>
      <c r="F81" s="2" t="s">
        <v>68</v>
      </c>
      <c r="G81" s="2" t="s">
        <v>80</v>
      </c>
      <c r="H81" s="2" t="s">
        <v>117</v>
      </c>
      <c r="I81" s="2" t="s">
        <v>117</v>
      </c>
      <c r="J81" s="2" t="s">
        <v>117</v>
      </c>
      <c r="K81" s="2" t="s">
        <v>69</v>
      </c>
      <c r="L81" s="2" t="s">
        <v>97</v>
      </c>
      <c r="M81" s="2" t="s">
        <v>88</v>
      </c>
      <c r="N81" s="2" t="s">
        <v>118</v>
      </c>
      <c r="O81" s="2" t="s">
        <v>117</v>
      </c>
      <c r="P81" s="2" t="s">
        <v>111</v>
      </c>
      <c r="Q81" s="31" t="s">
        <v>133</v>
      </c>
      <c r="R81" s="2" t="s">
        <v>117</v>
      </c>
      <c r="S81" s="2" t="s">
        <v>120</v>
      </c>
      <c r="T81" s="20">
        <v>46082</v>
      </c>
      <c r="U81" s="32">
        <v>1</v>
      </c>
      <c r="V81" s="32">
        <v>1</v>
      </c>
      <c r="W81" s="22">
        <f t="shared" si="20"/>
        <v>1</v>
      </c>
      <c r="X81" s="22">
        <v>48787</v>
      </c>
      <c r="Y81" s="23">
        <f t="shared" si="21"/>
        <v>53583.250967536929</v>
      </c>
      <c r="Z81" s="24">
        <f t="shared" si="22"/>
        <v>1098.3100204467773</v>
      </c>
      <c r="AA81" s="30">
        <v>935.96002197265625</v>
      </c>
      <c r="AB81" s="30">
        <v>103.93000030517578</v>
      </c>
      <c r="AC81" s="30">
        <v>58.419998168945313</v>
      </c>
      <c r="AD81" s="25">
        <f t="shared" si="23"/>
        <v>0</v>
      </c>
      <c r="AE81" s="26">
        <f t="shared" si="24"/>
        <v>0</v>
      </c>
      <c r="AF81" s="26">
        <f t="shared" si="25"/>
        <v>0</v>
      </c>
      <c r="AG81" s="26">
        <f t="shared" si="26"/>
        <v>0</v>
      </c>
      <c r="AH81" s="25">
        <f t="shared" si="27"/>
        <v>0</v>
      </c>
      <c r="AI81" s="25">
        <f t="shared" si="28"/>
        <v>0</v>
      </c>
      <c r="AJ81" s="25">
        <f t="shared" si="29"/>
        <v>0</v>
      </c>
      <c r="AK81" s="25">
        <f t="shared" si="30"/>
        <v>0</v>
      </c>
      <c r="BA81" s="34">
        <f t="shared" si="31"/>
        <v>45662681.59197998</v>
      </c>
      <c r="BB81" s="34">
        <f t="shared" si="32"/>
        <v>5070432.9248886108</v>
      </c>
      <c r="BC81" s="34">
        <f t="shared" si="33"/>
        <v>2850136.450668335</v>
      </c>
    </row>
    <row r="82" spans="2:55">
      <c r="B82" s="2" t="s">
        <v>66</v>
      </c>
      <c r="C82" s="2" t="s">
        <v>67</v>
      </c>
      <c r="D82" s="2" t="s">
        <v>81</v>
      </c>
      <c r="E82" s="2" t="s">
        <v>79</v>
      </c>
      <c r="F82" s="2" t="s">
        <v>68</v>
      </c>
      <c r="G82" s="2" t="s">
        <v>80</v>
      </c>
      <c r="H82" s="2" t="s">
        <v>134</v>
      </c>
      <c r="I82" s="2" t="s">
        <v>117</v>
      </c>
      <c r="J82" s="2" t="s">
        <v>117</v>
      </c>
      <c r="K82" s="2" t="s">
        <v>69</v>
      </c>
      <c r="L82" s="2" t="s">
        <v>97</v>
      </c>
      <c r="M82" s="2" t="s">
        <v>88</v>
      </c>
      <c r="N82" s="2" t="s">
        <v>118</v>
      </c>
      <c r="O82" s="2" t="s">
        <v>117</v>
      </c>
      <c r="P82" s="2" t="s">
        <v>111</v>
      </c>
      <c r="Q82" s="31">
        <v>0</v>
      </c>
      <c r="R82" s="2" t="s">
        <v>117</v>
      </c>
      <c r="S82" s="2" t="s">
        <v>120</v>
      </c>
      <c r="T82" s="20">
        <v>46082</v>
      </c>
      <c r="U82" s="32">
        <v>1</v>
      </c>
      <c r="V82" s="32">
        <v>1</v>
      </c>
      <c r="W82" s="22">
        <f t="shared" si="20"/>
        <v>1</v>
      </c>
      <c r="X82" s="22">
        <v>19177</v>
      </c>
      <c r="Y82" s="23">
        <f t="shared" si="21"/>
        <v>21469.802228634358</v>
      </c>
      <c r="Z82" s="24">
        <f t="shared" si="22"/>
        <v>1119.5600056648254</v>
      </c>
      <c r="AA82" s="30">
        <v>1016.0700073242188</v>
      </c>
      <c r="AB82" s="30">
        <v>97.669998168945313</v>
      </c>
      <c r="AC82" s="30">
        <v>5.820000171661377</v>
      </c>
      <c r="AD82" s="25">
        <f t="shared" si="23"/>
        <v>0</v>
      </c>
      <c r="AE82" s="26">
        <f t="shared" si="24"/>
        <v>0</v>
      </c>
      <c r="AF82" s="26">
        <f t="shared" si="25"/>
        <v>0</v>
      </c>
      <c r="AG82" s="26">
        <f t="shared" si="26"/>
        <v>0</v>
      </c>
      <c r="AH82" s="25">
        <f t="shared" si="27"/>
        <v>0</v>
      </c>
      <c r="AI82" s="25">
        <f t="shared" si="28"/>
        <v>0</v>
      </c>
      <c r="AJ82" s="25">
        <f t="shared" si="29"/>
        <v>0</v>
      </c>
      <c r="AK82" s="25">
        <f t="shared" si="30"/>
        <v>0</v>
      </c>
      <c r="BA82" s="34">
        <f t="shared" si="31"/>
        <v>19485174.530456543</v>
      </c>
      <c r="BB82" s="34">
        <f t="shared" si="32"/>
        <v>1873017.5548858643</v>
      </c>
      <c r="BC82" s="34">
        <f t="shared" si="33"/>
        <v>111610.14329195023</v>
      </c>
    </row>
    <row r="83" spans="2:55">
      <c r="B83" s="2" t="s">
        <v>66</v>
      </c>
      <c r="C83" s="2" t="s">
        <v>67</v>
      </c>
      <c r="D83" s="2" t="s">
        <v>81</v>
      </c>
      <c r="E83" s="2" t="s">
        <v>79</v>
      </c>
      <c r="F83" s="2" t="s">
        <v>68</v>
      </c>
      <c r="G83" s="2" t="s">
        <v>80</v>
      </c>
      <c r="H83" s="2" t="s">
        <v>135</v>
      </c>
      <c r="I83" s="2" t="s">
        <v>117</v>
      </c>
      <c r="J83" s="2" t="s">
        <v>117</v>
      </c>
      <c r="K83" s="2" t="s">
        <v>69</v>
      </c>
      <c r="L83" s="2" t="s">
        <v>97</v>
      </c>
      <c r="M83" s="2" t="s">
        <v>88</v>
      </c>
      <c r="N83" s="2" t="s">
        <v>118</v>
      </c>
      <c r="O83" s="2" t="s">
        <v>117</v>
      </c>
      <c r="P83" s="2" t="s">
        <v>111</v>
      </c>
      <c r="Q83" s="31">
        <v>0</v>
      </c>
      <c r="R83" s="2" t="s">
        <v>117</v>
      </c>
      <c r="S83" s="2" t="s">
        <v>120</v>
      </c>
      <c r="T83" s="20">
        <v>46082</v>
      </c>
      <c r="U83" s="32">
        <v>1</v>
      </c>
      <c r="V83" s="32">
        <v>1</v>
      </c>
      <c r="W83" s="22">
        <f t="shared" si="20"/>
        <v>1</v>
      </c>
      <c r="X83" s="22">
        <v>48871</v>
      </c>
      <c r="Y83" s="23">
        <f t="shared" si="21"/>
        <v>77622.789128650664</v>
      </c>
      <c r="Z83" s="24">
        <f t="shared" si="22"/>
        <v>1588.3200492858887</v>
      </c>
      <c r="AA83" s="30">
        <v>1352.6700439453125</v>
      </c>
      <c r="AB83" s="30">
        <v>211.85000610351563</v>
      </c>
      <c r="AC83" s="30">
        <v>23.799999237060547</v>
      </c>
      <c r="AD83" s="25">
        <f t="shared" si="23"/>
        <v>0</v>
      </c>
      <c r="AE83" s="26">
        <f t="shared" si="24"/>
        <v>0</v>
      </c>
      <c r="AF83" s="26">
        <f t="shared" si="25"/>
        <v>0</v>
      </c>
      <c r="AG83" s="26">
        <f t="shared" si="26"/>
        <v>0</v>
      </c>
      <c r="AH83" s="25">
        <f t="shared" si="27"/>
        <v>0</v>
      </c>
      <c r="AI83" s="25">
        <f t="shared" si="28"/>
        <v>0</v>
      </c>
      <c r="AJ83" s="25">
        <f t="shared" si="29"/>
        <v>0</v>
      </c>
      <c r="AK83" s="25">
        <f t="shared" si="30"/>
        <v>0</v>
      </c>
      <c r="BA83" s="34">
        <f t="shared" si="31"/>
        <v>66106337.717651367</v>
      </c>
      <c r="BB83" s="34">
        <f t="shared" si="32"/>
        <v>10353321.648284912</v>
      </c>
      <c r="BC83" s="34">
        <f t="shared" si="33"/>
        <v>1163129.762714386</v>
      </c>
    </row>
    <row r="84" spans="2:55">
      <c r="B84" s="2" t="s">
        <v>66</v>
      </c>
      <c r="C84" s="2" t="s">
        <v>67</v>
      </c>
      <c r="D84" s="2" t="s">
        <v>81</v>
      </c>
      <c r="E84" s="2" t="s">
        <v>79</v>
      </c>
      <c r="F84" s="2" t="s">
        <v>68</v>
      </c>
      <c r="G84" s="28" t="s">
        <v>80</v>
      </c>
      <c r="H84" s="2" t="s">
        <v>117</v>
      </c>
      <c r="I84" s="2" t="s">
        <v>117</v>
      </c>
      <c r="J84" s="2" t="s">
        <v>117</v>
      </c>
      <c r="K84" s="2" t="s">
        <v>69</v>
      </c>
      <c r="L84" s="2" t="s">
        <v>97</v>
      </c>
      <c r="M84" s="2" t="s">
        <v>89</v>
      </c>
      <c r="N84" s="2" t="s">
        <v>119</v>
      </c>
      <c r="O84" s="2" t="s">
        <v>117</v>
      </c>
      <c r="P84" s="2" t="s">
        <v>111</v>
      </c>
      <c r="Q84" s="31" t="s">
        <v>131</v>
      </c>
      <c r="R84" s="2" t="s">
        <v>117</v>
      </c>
      <c r="S84" s="2" t="s">
        <v>120</v>
      </c>
      <c r="T84" s="20">
        <v>46082</v>
      </c>
      <c r="U84" s="32">
        <v>1</v>
      </c>
      <c r="V84" s="32">
        <v>1</v>
      </c>
      <c r="W84" s="22">
        <f t="shared" si="20"/>
        <v>1</v>
      </c>
      <c r="X84" s="22">
        <v>36176</v>
      </c>
      <c r="Y84" s="23">
        <f t="shared" si="21"/>
        <v>58500.573176086429</v>
      </c>
      <c r="Z84" s="24">
        <f t="shared" si="22"/>
        <v>1617.110050201416</v>
      </c>
      <c r="AA84" s="30">
        <v>1477.050048828125</v>
      </c>
      <c r="AB84" s="30">
        <v>92.5</v>
      </c>
      <c r="AC84" s="30">
        <v>47.560001373291016</v>
      </c>
      <c r="AD84" s="25">
        <f t="shared" si="23"/>
        <v>0</v>
      </c>
      <c r="AE84" s="26">
        <f t="shared" si="24"/>
        <v>0</v>
      </c>
      <c r="AF84" s="26">
        <f t="shared" si="25"/>
        <v>0</v>
      </c>
      <c r="AG84" s="26">
        <f t="shared" si="26"/>
        <v>0</v>
      </c>
      <c r="AH84" s="25">
        <f t="shared" si="27"/>
        <v>0</v>
      </c>
      <c r="AI84" s="25">
        <f t="shared" si="28"/>
        <v>0</v>
      </c>
      <c r="AJ84" s="25">
        <f t="shared" si="29"/>
        <v>0</v>
      </c>
      <c r="AK84" s="25">
        <f t="shared" si="30"/>
        <v>0</v>
      </c>
      <c r="BA84" s="34">
        <f t="shared" si="31"/>
        <v>53433762.56640625</v>
      </c>
      <c r="BB84" s="34">
        <f t="shared" si="32"/>
        <v>3346280</v>
      </c>
      <c r="BC84" s="34">
        <f t="shared" si="33"/>
        <v>1720530.6096801758</v>
      </c>
    </row>
    <row r="85" spans="2:55">
      <c r="B85" s="2" t="s">
        <v>66</v>
      </c>
      <c r="C85" s="2" t="s">
        <v>67</v>
      </c>
      <c r="D85" s="2" t="s">
        <v>81</v>
      </c>
      <c r="E85" s="2" t="s">
        <v>79</v>
      </c>
      <c r="F85" s="2" t="s">
        <v>68</v>
      </c>
      <c r="G85" s="28" t="s">
        <v>80</v>
      </c>
      <c r="H85" s="2" t="s">
        <v>117</v>
      </c>
      <c r="I85" s="2" t="s">
        <v>117</v>
      </c>
      <c r="J85" s="2" t="s">
        <v>117</v>
      </c>
      <c r="K85" s="2" t="s">
        <v>69</v>
      </c>
      <c r="L85" s="2" t="s">
        <v>97</v>
      </c>
      <c r="M85" s="2" t="s">
        <v>89</v>
      </c>
      <c r="N85" s="2" t="s">
        <v>119</v>
      </c>
      <c r="O85" s="2" t="s">
        <v>117</v>
      </c>
      <c r="P85" s="2" t="s">
        <v>111</v>
      </c>
      <c r="Q85" s="31" t="s">
        <v>132</v>
      </c>
      <c r="R85" s="2" t="s">
        <v>117</v>
      </c>
      <c r="S85" s="2" t="s">
        <v>120</v>
      </c>
      <c r="T85" s="20">
        <v>46082</v>
      </c>
      <c r="U85" s="32">
        <v>1</v>
      </c>
      <c r="V85" s="32">
        <v>1</v>
      </c>
      <c r="W85" s="22">
        <f t="shared" si="20"/>
        <v>1</v>
      </c>
      <c r="X85" s="22">
        <v>6401</v>
      </c>
      <c r="Y85" s="23">
        <f t="shared" si="21"/>
        <v>9745.0107012939461</v>
      </c>
      <c r="Z85" s="24">
        <f t="shared" si="22"/>
        <v>1522.4200439453125</v>
      </c>
      <c r="AA85" s="30">
        <v>1224.4200439453125</v>
      </c>
      <c r="AB85" s="30">
        <v>243.77999877929688</v>
      </c>
      <c r="AC85" s="30">
        <v>54.220001220703125</v>
      </c>
      <c r="AD85" s="25">
        <f t="shared" si="23"/>
        <v>0</v>
      </c>
      <c r="AE85" s="26">
        <f t="shared" si="24"/>
        <v>0</v>
      </c>
      <c r="AF85" s="26">
        <f t="shared" si="25"/>
        <v>0</v>
      </c>
      <c r="AG85" s="26">
        <f t="shared" si="26"/>
        <v>0</v>
      </c>
      <c r="AH85" s="25">
        <f t="shared" si="27"/>
        <v>0</v>
      </c>
      <c r="AI85" s="25">
        <f t="shared" si="28"/>
        <v>0</v>
      </c>
      <c r="AJ85" s="25">
        <f t="shared" si="29"/>
        <v>0</v>
      </c>
      <c r="AK85" s="25">
        <f t="shared" si="30"/>
        <v>0</v>
      </c>
      <c r="BA85" s="34">
        <f t="shared" si="31"/>
        <v>7837512.7012939453</v>
      </c>
      <c r="BB85" s="34">
        <f t="shared" si="32"/>
        <v>1560435.7721862793</v>
      </c>
      <c r="BC85" s="34">
        <f t="shared" si="33"/>
        <v>347062.2278137207</v>
      </c>
    </row>
    <row r="86" spans="2:55">
      <c r="B86" s="2" t="s">
        <v>66</v>
      </c>
      <c r="C86" s="2" t="s">
        <v>67</v>
      </c>
      <c r="D86" s="2" t="s">
        <v>81</v>
      </c>
      <c r="E86" s="2" t="s">
        <v>79</v>
      </c>
      <c r="F86" s="2" t="s">
        <v>68</v>
      </c>
      <c r="G86" s="28" t="s">
        <v>80</v>
      </c>
      <c r="H86" s="2" t="s">
        <v>117</v>
      </c>
      <c r="I86" s="2" t="s">
        <v>117</v>
      </c>
      <c r="J86" s="2" t="s">
        <v>117</v>
      </c>
      <c r="K86" s="2" t="s">
        <v>69</v>
      </c>
      <c r="L86" s="2" t="s">
        <v>97</v>
      </c>
      <c r="M86" s="2" t="s">
        <v>89</v>
      </c>
      <c r="N86" s="2" t="s">
        <v>119</v>
      </c>
      <c r="O86" s="2" t="s">
        <v>117</v>
      </c>
      <c r="P86" s="2" t="s">
        <v>111</v>
      </c>
      <c r="Q86" s="31" t="s">
        <v>133</v>
      </c>
      <c r="R86" s="2" t="s">
        <v>117</v>
      </c>
      <c r="S86" s="2" t="s">
        <v>120</v>
      </c>
      <c r="T86" s="20">
        <v>46082</v>
      </c>
      <c r="U86" s="32">
        <v>1</v>
      </c>
      <c r="V86" s="32">
        <v>1</v>
      </c>
      <c r="W86" s="22">
        <f t="shared" si="20"/>
        <v>1</v>
      </c>
      <c r="X86" s="22">
        <v>22012</v>
      </c>
      <c r="Y86" s="23">
        <f t="shared" si="21"/>
        <v>27230.825083358766</v>
      </c>
      <c r="Z86" s="24">
        <f t="shared" si="22"/>
        <v>1237.0900001525879</v>
      </c>
      <c r="AA86" s="30">
        <v>1046.3800048828125</v>
      </c>
      <c r="AB86" s="30">
        <v>176.3699951171875</v>
      </c>
      <c r="AC86" s="30">
        <v>14.340000152587891</v>
      </c>
      <c r="AD86" s="25">
        <f t="shared" si="23"/>
        <v>0</v>
      </c>
      <c r="AE86" s="26">
        <f t="shared" si="24"/>
        <v>0</v>
      </c>
      <c r="AF86" s="26">
        <f t="shared" si="25"/>
        <v>0</v>
      </c>
      <c r="AG86" s="26">
        <f t="shared" si="26"/>
        <v>0</v>
      </c>
      <c r="AH86" s="25">
        <f t="shared" si="27"/>
        <v>0</v>
      </c>
      <c r="AI86" s="25">
        <f t="shared" si="28"/>
        <v>0</v>
      </c>
      <c r="AJ86" s="25">
        <f t="shared" si="29"/>
        <v>0</v>
      </c>
      <c r="AK86" s="25">
        <f t="shared" si="30"/>
        <v>0</v>
      </c>
      <c r="BA86" s="34">
        <f t="shared" si="31"/>
        <v>23032916.667480469</v>
      </c>
      <c r="BB86" s="34">
        <f t="shared" si="32"/>
        <v>3882256.3325195313</v>
      </c>
      <c r="BC86" s="34">
        <f t="shared" si="33"/>
        <v>315652.08335876465</v>
      </c>
    </row>
    <row r="87" spans="2:55">
      <c r="B87" s="2" t="s">
        <v>66</v>
      </c>
      <c r="C87" s="2" t="s">
        <v>67</v>
      </c>
      <c r="D87" s="2" t="s">
        <v>81</v>
      </c>
      <c r="E87" s="2" t="s">
        <v>79</v>
      </c>
      <c r="F87" s="2" t="s">
        <v>68</v>
      </c>
      <c r="G87" s="28" t="s">
        <v>80</v>
      </c>
      <c r="H87" s="2" t="s">
        <v>134</v>
      </c>
      <c r="I87" s="2" t="s">
        <v>117</v>
      </c>
      <c r="J87" s="2" t="s">
        <v>117</v>
      </c>
      <c r="K87" s="2" t="s">
        <v>69</v>
      </c>
      <c r="L87" s="2" t="s">
        <v>97</v>
      </c>
      <c r="M87" s="2" t="s">
        <v>89</v>
      </c>
      <c r="N87" s="2" t="s">
        <v>119</v>
      </c>
      <c r="O87" s="2" t="s">
        <v>117</v>
      </c>
      <c r="P87" s="2" t="s">
        <v>111</v>
      </c>
      <c r="Q87" s="31">
        <v>0</v>
      </c>
      <c r="R87" s="2" t="s">
        <v>117</v>
      </c>
      <c r="S87" s="2" t="s">
        <v>120</v>
      </c>
      <c r="T87" s="20">
        <v>46082</v>
      </c>
      <c r="U87" s="32">
        <v>1</v>
      </c>
      <c r="V87" s="32">
        <v>1</v>
      </c>
      <c r="W87" s="22">
        <f t="shared" si="20"/>
        <v>1</v>
      </c>
      <c r="X87" s="22">
        <v>5290</v>
      </c>
      <c r="Y87" s="23">
        <f t="shared" si="21"/>
        <v>6469.0878949737553</v>
      </c>
      <c r="Z87" s="24">
        <f t="shared" si="22"/>
        <v>1222.8899612426758</v>
      </c>
      <c r="AA87" s="30">
        <v>923.469970703125</v>
      </c>
      <c r="AB87" s="30">
        <v>230.92999267578125</v>
      </c>
      <c r="AC87" s="30">
        <v>68.489997863769531</v>
      </c>
      <c r="AD87" s="25">
        <f t="shared" si="23"/>
        <v>0</v>
      </c>
      <c r="AE87" s="26">
        <f t="shared" si="24"/>
        <v>0</v>
      </c>
      <c r="AF87" s="26">
        <f t="shared" si="25"/>
        <v>0</v>
      </c>
      <c r="AG87" s="26">
        <f t="shared" si="26"/>
        <v>0</v>
      </c>
      <c r="AH87" s="25">
        <f t="shared" si="27"/>
        <v>0</v>
      </c>
      <c r="AI87" s="25">
        <f t="shared" si="28"/>
        <v>0</v>
      </c>
      <c r="AJ87" s="25">
        <f t="shared" si="29"/>
        <v>0</v>
      </c>
      <c r="AK87" s="25">
        <f t="shared" si="30"/>
        <v>0</v>
      </c>
      <c r="BA87" s="34">
        <f t="shared" si="31"/>
        <v>4885156.1450195313</v>
      </c>
      <c r="BB87" s="34">
        <f t="shared" si="32"/>
        <v>1221619.6612548828</v>
      </c>
      <c r="BC87" s="34">
        <f t="shared" si="33"/>
        <v>362312.08869934082</v>
      </c>
    </row>
    <row r="88" spans="2:55">
      <c r="B88" s="2" t="s">
        <v>66</v>
      </c>
      <c r="C88" s="2" t="s">
        <v>67</v>
      </c>
      <c r="D88" s="2" t="s">
        <v>81</v>
      </c>
      <c r="E88" s="2" t="s">
        <v>79</v>
      </c>
      <c r="F88" s="2" t="s">
        <v>68</v>
      </c>
      <c r="G88" s="28" t="s">
        <v>80</v>
      </c>
      <c r="H88" s="2" t="s">
        <v>135</v>
      </c>
      <c r="I88" s="2" t="s">
        <v>117</v>
      </c>
      <c r="J88" s="2" t="s">
        <v>117</v>
      </c>
      <c r="K88" s="2" t="s">
        <v>69</v>
      </c>
      <c r="L88" s="2" t="s">
        <v>97</v>
      </c>
      <c r="M88" s="2" t="s">
        <v>89</v>
      </c>
      <c r="N88" s="2" t="s">
        <v>119</v>
      </c>
      <c r="O88" s="2" t="s">
        <v>117</v>
      </c>
      <c r="P88" s="2" t="s">
        <v>111</v>
      </c>
      <c r="Q88" s="31">
        <v>0</v>
      </c>
      <c r="R88" s="2" t="s">
        <v>117</v>
      </c>
      <c r="S88" s="2" t="s">
        <v>120</v>
      </c>
      <c r="T88" s="20">
        <v>46082</v>
      </c>
      <c r="U88" s="32">
        <v>1</v>
      </c>
      <c r="V88" s="32">
        <v>1</v>
      </c>
      <c r="W88" s="22">
        <f t="shared" si="20"/>
        <v>1</v>
      </c>
      <c r="X88" s="22">
        <v>23486</v>
      </c>
      <c r="Y88" s="23">
        <f t="shared" si="21"/>
        <v>30132.537507244109</v>
      </c>
      <c r="Z88" s="24">
        <f t="shared" si="22"/>
        <v>1282.999979019165</v>
      </c>
      <c r="AA88" s="30">
        <v>1077.5999755859375</v>
      </c>
      <c r="AB88" s="30">
        <v>176.55000305175781</v>
      </c>
      <c r="AC88" s="30">
        <v>28.850000381469727</v>
      </c>
      <c r="AD88" s="25">
        <f t="shared" si="23"/>
        <v>0</v>
      </c>
      <c r="AE88" s="26">
        <f t="shared" si="24"/>
        <v>0</v>
      </c>
      <c r="AF88" s="26">
        <f t="shared" si="25"/>
        <v>0</v>
      </c>
      <c r="AG88" s="26">
        <f t="shared" si="26"/>
        <v>0</v>
      </c>
      <c r="AH88" s="25">
        <f t="shared" si="27"/>
        <v>0</v>
      </c>
      <c r="AI88" s="25">
        <f t="shared" si="28"/>
        <v>0</v>
      </c>
      <c r="AJ88" s="25">
        <f t="shared" si="29"/>
        <v>0</v>
      </c>
      <c r="AK88" s="25">
        <f t="shared" si="30"/>
        <v>0</v>
      </c>
      <c r="BA88" s="34">
        <f t="shared" si="31"/>
        <v>25308513.026611328</v>
      </c>
      <c r="BB88" s="34">
        <f t="shared" si="32"/>
        <v>4146453.371673584</v>
      </c>
      <c r="BC88" s="34">
        <f t="shared" si="33"/>
        <v>677571.108959198</v>
      </c>
    </row>
    <row r="89" spans="2:55">
      <c r="B89" s="2" t="s">
        <v>66</v>
      </c>
      <c r="C89" s="2" t="s">
        <v>67</v>
      </c>
      <c r="D89" s="2" t="s">
        <v>81</v>
      </c>
      <c r="E89" s="2" t="s">
        <v>79</v>
      </c>
      <c r="F89" s="2" t="s">
        <v>68</v>
      </c>
      <c r="G89" s="28" t="s">
        <v>80</v>
      </c>
      <c r="H89" s="2" t="s">
        <v>117</v>
      </c>
      <c r="I89" s="2" t="s">
        <v>117</v>
      </c>
      <c r="J89" s="2" t="s">
        <v>117</v>
      </c>
      <c r="K89" s="2" t="s">
        <v>69</v>
      </c>
      <c r="L89" s="2" t="s">
        <v>98</v>
      </c>
      <c r="M89" s="2" t="s">
        <v>85</v>
      </c>
      <c r="N89" s="2" t="s">
        <v>112</v>
      </c>
      <c r="O89" s="2" t="s">
        <v>117</v>
      </c>
      <c r="P89" s="2" t="s">
        <v>111</v>
      </c>
      <c r="Q89" s="31">
        <v>0</v>
      </c>
      <c r="R89" s="2" t="s">
        <v>117</v>
      </c>
      <c r="S89" s="2" t="s">
        <v>120</v>
      </c>
      <c r="T89" s="20">
        <v>46082</v>
      </c>
      <c r="U89" s="32">
        <v>1</v>
      </c>
      <c r="V89" s="32">
        <v>1</v>
      </c>
      <c r="W89" s="22">
        <f t="shared" si="20"/>
        <v>1</v>
      </c>
      <c r="X89" s="22">
        <v>36479</v>
      </c>
      <c r="Y89" s="23">
        <f t="shared" si="21"/>
        <v>57436.184334565638</v>
      </c>
      <c r="Z89" s="24">
        <f t="shared" si="22"/>
        <v>1574.4999680519104</v>
      </c>
      <c r="AA89" s="30">
        <v>1284.5999755859375</v>
      </c>
      <c r="AB89" s="30">
        <v>284.17999267578125</v>
      </c>
      <c r="AC89" s="30">
        <v>5.7199997901916504</v>
      </c>
      <c r="AD89" s="25">
        <f t="shared" si="23"/>
        <v>0</v>
      </c>
      <c r="AE89" s="26">
        <f t="shared" si="24"/>
        <v>0</v>
      </c>
      <c r="AF89" s="26">
        <f t="shared" si="25"/>
        <v>0</v>
      </c>
      <c r="AG89" s="26">
        <f t="shared" si="26"/>
        <v>0</v>
      </c>
      <c r="AH89" s="25">
        <f t="shared" si="27"/>
        <v>0</v>
      </c>
      <c r="AI89" s="25">
        <f t="shared" si="28"/>
        <v>0</v>
      </c>
      <c r="AJ89" s="25">
        <f t="shared" si="29"/>
        <v>0</v>
      </c>
      <c r="AK89" s="25">
        <f t="shared" si="30"/>
        <v>0</v>
      </c>
      <c r="BA89" s="34">
        <f t="shared" si="31"/>
        <v>46860922.509399414</v>
      </c>
      <c r="BB89" s="34">
        <f t="shared" si="32"/>
        <v>10366601.952819824</v>
      </c>
      <c r="BC89" s="34">
        <f t="shared" si="33"/>
        <v>208659.87234640121</v>
      </c>
    </row>
    <row r="90" spans="2:55">
      <c r="B90" s="2" t="s">
        <v>66</v>
      </c>
      <c r="C90" s="2" t="s">
        <v>67</v>
      </c>
      <c r="D90" s="2" t="s">
        <v>81</v>
      </c>
      <c r="E90" s="2" t="s">
        <v>79</v>
      </c>
      <c r="F90" s="2" t="s">
        <v>68</v>
      </c>
      <c r="G90" s="28" t="s">
        <v>80</v>
      </c>
      <c r="H90" s="2" t="s">
        <v>117</v>
      </c>
      <c r="I90" s="2" t="s">
        <v>117</v>
      </c>
      <c r="J90" s="2" t="s">
        <v>136</v>
      </c>
      <c r="K90" s="2" t="s">
        <v>69</v>
      </c>
      <c r="L90" s="2" t="s">
        <v>98</v>
      </c>
      <c r="M90" s="2" t="s">
        <v>85</v>
      </c>
      <c r="N90" s="2" t="s">
        <v>112</v>
      </c>
      <c r="O90" s="2" t="s">
        <v>117</v>
      </c>
      <c r="P90" s="2" t="s">
        <v>111</v>
      </c>
      <c r="Q90" s="31">
        <v>0</v>
      </c>
      <c r="R90" s="2" t="s">
        <v>117</v>
      </c>
      <c r="S90" s="2" t="s">
        <v>120</v>
      </c>
      <c r="T90" s="20">
        <v>46082</v>
      </c>
      <c r="U90" s="32">
        <v>1</v>
      </c>
      <c r="V90" s="32">
        <v>1</v>
      </c>
      <c r="W90" s="22">
        <f t="shared" si="20"/>
        <v>1</v>
      </c>
      <c r="X90" s="22">
        <v>6930</v>
      </c>
      <c r="Y90" s="23">
        <f t="shared" si="21"/>
        <v>9153.5594869995111</v>
      </c>
      <c r="Z90" s="24">
        <f t="shared" si="22"/>
        <v>1320.8599548339844</v>
      </c>
      <c r="AA90" s="30">
        <v>1186.699951171875</v>
      </c>
      <c r="AB90" s="30">
        <v>75.050003051757813</v>
      </c>
      <c r="AC90" s="30">
        <v>59.110000610351563</v>
      </c>
      <c r="AD90" s="25">
        <f t="shared" si="23"/>
        <v>0</v>
      </c>
      <c r="AE90" s="26">
        <f t="shared" si="24"/>
        <v>0</v>
      </c>
      <c r="AF90" s="26">
        <f t="shared" si="25"/>
        <v>0</v>
      </c>
      <c r="AG90" s="26">
        <f t="shared" si="26"/>
        <v>0</v>
      </c>
      <c r="AH90" s="25">
        <f t="shared" si="27"/>
        <v>0</v>
      </c>
      <c r="AI90" s="25">
        <f t="shared" si="28"/>
        <v>0</v>
      </c>
      <c r="AJ90" s="25">
        <f t="shared" si="29"/>
        <v>0</v>
      </c>
      <c r="AK90" s="25">
        <f t="shared" si="30"/>
        <v>0</v>
      </c>
      <c r="BA90" s="34">
        <f t="shared" si="31"/>
        <v>8223830.6616210938</v>
      </c>
      <c r="BB90" s="34">
        <f t="shared" si="32"/>
        <v>520096.52114868164</v>
      </c>
      <c r="BC90" s="34">
        <f t="shared" si="33"/>
        <v>409632.30422973633</v>
      </c>
    </row>
    <row r="91" spans="2:55">
      <c r="B91" s="2" t="s">
        <v>66</v>
      </c>
      <c r="C91" s="2" t="s">
        <v>67</v>
      </c>
      <c r="D91" s="2" t="s">
        <v>81</v>
      </c>
      <c r="E91" s="2" t="s">
        <v>79</v>
      </c>
      <c r="F91" s="2" t="s">
        <v>68</v>
      </c>
      <c r="G91" s="28" t="s">
        <v>80</v>
      </c>
      <c r="H91" s="2" t="s">
        <v>117</v>
      </c>
      <c r="I91" s="2" t="s">
        <v>117</v>
      </c>
      <c r="J91" s="2" t="s">
        <v>117</v>
      </c>
      <c r="K91" s="2" t="s">
        <v>69</v>
      </c>
      <c r="L91" s="2" t="s">
        <v>98</v>
      </c>
      <c r="M91" s="2" t="s">
        <v>86</v>
      </c>
      <c r="N91" s="2" t="s">
        <v>113</v>
      </c>
      <c r="O91" s="2" t="s">
        <v>117</v>
      </c>
      <c r="P91" s="2" t="s">
        <v>111</v>
      </c>
      <c r="Q91" s="31">
        <v>0</v>
      </c>
      <c r="R91" s="2" t="s">
        <v>117</v>
      </c>
      <c r="S91" s="2" t="s">
        <v>120</v>
      </c>
      <c r="T91" s="20">
        <v>46082</v>
      </c>
      <c r="U91" s="32">
        <v>1</v>
      </c>
      <c r="V91" s="32">
        <v>1</v>
      </c>
      <c r="W91" s="22">
        <f t="shared" si="20"/>
        <v>1</v>
      </c>
      <c r="X91" s="22">
        <v>22942</v>
      </c>
      <c r="Y91" s="23">
        <f t="shared" si="21"/>
        <v>23504.078824966429</v>
      </c>
      <c r="Z91" s="24">
        <f t="shared" si="22"/>
        <v>1024.4999923706055</v>
      </c>
      <c r="AA91" s="30">
        <v>805.05999755859375</v>
      </c>
      <c r="AB91" s="30">
        <v>144.1199951171875</v>
      </c>
      <c r="AC91" s="30">
        <v>75.319999694824219</v>
      </c>
      <c r="AD91" s="25">
        <f t="shared" si="23"/>
        <v>0</v>
      </c>
      <c r="AE91" s="26">
        <f t="shared" si="24"/>
        <v>0</v>
      </c>
      <c r="AF91" s="26">
        <f t="shared" si="25"/>
        <v>0</v>
      </c>
      <c r="AG91" s="26">
        <f t="shared" si="26"/>
        <v>0</v>
      </c>
      <c r="AH91" s="25">
        <f t="shared" si="27"/>
        <v>0</v>
      </c>
      <c r="AI91" s="25">
        <f t="shared" si="28"/>
        <v>0</v>
      </c>
      <c r="AJ91" s="25">
        <f t="shared" si="29"/>
        <v>0</v>
      </c>
      <c r="AK91" s="25">
        <f t="shared" si="30"/>
        <v>0</v>
      </c>
      <c r="BA91" s="34">
        <f t="shared" si="31"/>
        <v>18469686.463989258</v>
      </c>
      <c r="BB91" s="34">
        <f t="shared" si="32"/>
        <v>3306400.9279785156</v>
      </c>
      <c r="BC91" s="34">
        <f t="shared" si="33"/>
        <v>1727991.4329986572</v>
      </c>
    </row>
    <row r="92" spans="2:55">
      <c r="B92" s="2" t="s">
        <v>66</v>
      </c>
      <c r="C92" s="2" t="s">
        <v>67</v>
      </c>
      <c r="D92" s="2" t="s">
        <v>81</v>
      </c>
      <c r="E92" s="2" t="s">
        <v>79</v>
      </c>
      <c r="F92" s="2" t="s">
        <v>68</v>
      </c>
      <c r="G92" s="28" t="s">
        <v>80</v>
      </c>
      <c r="H92" s="2" t="s">
        <v>137</v>
      </c>
      <c r="I92" s="2" t="s">
        <v>117</v>
      </c>
      <c r="J92" s="2" t="s">
        <v>117</v>
      </c>
      <c r="K92" s="2" t="s">
        <v>69</v>
      </c>
      <c r="L92" s="2" t="s">
        <v>98</v>
      </c>
      <c r="M92" s="2" t="s">
        <v>86</v>
      </c>
      <c r="N92" s="2" t="s">
        <v>113</v>
      </c>
      <c r="O92" s="2" t="s">
        <v>117</v>
      </c>
      <c r="P92" s="2" t="s">
        <v>111</v>
      </c>
      <c r="Q92" s="31">
        <v>0</v>
      </c>
      <c r="R92" s="2" t="s">
        <v>117</v>
      </c>
      <c r="S92" s="2" t="s">
        <v>120</v>
      </c>
      <c r="T92" s="20">
        <v>46082</v>
      </c>
      <c r="U92" s="32">
        <v>1</v>
      </c>
      <c r="V92" s="32">
        <v>1</v>
      </c>
      <c r="W92" s="22">
        <f t="shared" si="20"/>
        <v>1</v>
      </c>
      <c r="X92" s="22">
        <v>33210</v>
      </c>
      <c r="Y92" s="23">
        <f t="shared" si="21"/>
        <v>49124.231138534546</v>
      </c>
      <c r="Z92" s="24">
        <f t="shared" si="22"/>
        <v>1479.1999740600586</v>
      </c>
      <c r="AA92" s="30">
        <v>1252.219970703125</v>
      </c>
      <c r="AB92" s="30">
        <v>158.52000427246094</v>
      </c>
      <c r="AC92" s="30">
        <v>68.459999084472656</v>
      </c>
      <c r="AD92" s="25">
        <f t="shared" si="23"/>
        <v>0</v>
      </c>
      <c r="AE92" s="26">
        <f t="shared" si="24"/>
        <v>0</v>
      </c>
      <c r="AF92" s="26">
        <f t="shared" si="25"/>
        <v>0</v>
      </c>
      <c r="AG92" s="26">
        <f t="shared" si="26"/>
        <v>0</v>
      </c>
      <c r="AH92" s="25">
        <f t="shared" si="27"/>
        <v>0</v>
      </c>
      <c r="AI92" s="25">
        <f t="shared" si="28"/>
        <v>0</v>
      </c>
      <c r="AJ92" s="25">
        <f t="shared" si="29"/>
        <v>0</v>
      </c>
      <c r="AK92" s="25">
        <f t="shared" si="30"/>
        <v>0</v>
      </c>
      <c r="BA92" s="34">
        <f t="shared" si="31"/>
        <v>41586225.227050781</v>
      </c>
      <c r="BB92" s="34">
        <f t="shared" si="32"/>
        <v>5264449.3418884277</v>
      </c>
      <c r="BC92" s="34">
        <f t="shared" si="33"/>
        <v>2273556.5695953369</v>
      </c>
    </row>
    <row r="93" spans="2:55">
      <c r="B93" s="2" t="s">
        <v>66</v>
      </c>
      <c r="C93" s="2" t="s">
        <v>67</v>
      </c>
      <c r="D93" s="2" t="s">
        <v>81</v>
      </c>
      <c r="E93" s="2" t="s">
        <v>79</v>
      </c>
      <c r="F93" s="2" t="s">
        <v>68</v>
      </c>
      <c r="G93" s="28" t="s">
        <v>80</v>
      </c>
      <c r="H93" s="2" t="s">
        <v>117</v>
      </c>
      <c r="I93" s="2" t="s">
        <v>117</v>
      </c>
      <c r="J93" s="2" t="s">
        <v>117</v>
      </c>
      <c r="K93" s="2" t="s">
        <v>69</v>
      </c>
      <c r="L93" s="2" t="s">
        <v>98</v>
      </c>
      <c r="M93" s="2" t="s">
        <v>86</v>
      </c>
      <c r="N93" s="2" t="s">
        <v>114</v>
      </c>
      <c r="O93" s="2" t="s">
        <v>117</v>
      </c>
      <c r="P93" s="2" t="s">
        <v>111</v>
      </c>
      <c r="Q93" s="31">
        <v>0</v>
      </c>
      <c r="R93" s="2" t="s">
        <v>117</v>
      </c>
      <c r="S93" s="2" t="s">
        <v>120</v>
      </c>
      <c r="T93" s="20">
        <v>46082</v>
      </c>
      <c r="U93" s="32">
        <v>1</v>
      </c>
      <c r="V93" s="32">
        <v>1</v>
      </c>
      <c r="W93" s="22">
        <f t="shared" si="20"/>
        <v>1</v>
      </c>
      <c r="X93" s="22">
        <v>44684</v>
      </c>
      <c r="Y93" s="23">
        <f t="shared" si="21"/>
        <v>48378.026496479033</v>
      </c>
      <c r="Z93" s="24">
        <f t="shared" si="22"/>
        <v>1082.6700048446655</v>
      </c>
      <c r="AA93" s="30">
        <v>844.6300048828125</v>
      </c>
      <c r="AB93" s="30">
        <v>231</v>
      </c>
      <c r="AC93" s="30">
        <v>7.0399999618530273</v>
      </c>
      <c r="AD93" s="25">
        <f t="shared" si="23"/>
        <v>0</v>
      </c>
      <c r="AE93" s="26">
        <f t="shared" si="24"/>
        <v>0</v>
      </c>
      <c r="AF93" s="26">
        <f t="shared" si="25"/>
        <v>0</v>
      </c>
      <c r="AG93" s="26">
        <f t="shared" si="26"/>
        <v>0</v>
      </c>
      <c r="AH93" s="25">
        <f t="shared" si="27"/>
        <v>0</v>
      </c>
      <c r="AI93" s="25">
        <f t="shared" si="28"/>
        <v>0</v>
      </c>
      <c r="AJ93" s="25">
        <f t="shared" si="29"/>
        <v>0</v>
      </c>
      <c r="AK93" s="25">
        <f t="shared" si="30"/>
        <v>0</v>
      </c>
      <c r="BA93" s="34">
        <f t="shared" si="31"/>
        <v>37741447.138183594</v>
      </c>
      <c r="BB93" s="34">
        <f t="shared" si="32"/>
        <v>10322004</v>
      </c>
      <c r="BC93" s="34">
        <f t="shared" si="33"/>
        <v>314575.35829544067</v>
      </c>
    </row>
    <row r="94" spans="2:55">
      <c r="B94" s="2" t="s">
        <v>66</v>
      </c>
      <c r="C94" s="2" t="s">
        <v>67</v>
      </c>
      <c r="D94" s="2" t="s">
        <v>81</v>
      </c>
      <c r="E94" s="2" t="s">
        <v>79</v>
      </c>
      <c r="F94" s="2" t="s">
        <v>68</v>
      </c>
      <c r="G94" s="28" t="s">
        <v>80</v>
      </c>
      <c r="H94" s="2" t="s">
        <v>117</v>
      </c>
      <c r="I94" s="2" t="s">
        <v>117</v>
      </c>
      <c r="J94" s="2" t="s">
        <v>117</v>
      </c>
      <c r="K94" s="2" t="s">
        <v>69</v>
      </c>
      <c r="L94" s="2" t="s">
        <v>98</v>
      </c>
      <c r="M94" s="2" t="s">
        <v>86</v>
      </c>
      <c r="N94" s="2" t="s">
        <v>138</v>
      </c>
      <c r="O94" s="2" t="s">
        <v>117</v>
      </c>
      <c r="P94" s="2" t="s">
        <v>111</v>
      </c>
      <c r="Q94" s="31">
        <v>0</v>
      </c>
      <c r="R94" s="2" t="s">
        <v>117</v>
      </c>
      <c r="S94" s="2" t="s">
        <v>120</v>
      </c>
      <c r="T94" s="20">
        <v>46082</v>
      </c>
      <c r="U94" s="32">
        <v>1</v>
      </c>
      <c r="V94" s="32">
        <v>1</v>
      </c>
      <c r="W94" s="22">
        <f t="shared" si="20"/>
        <v>1</v>
      </c>
      <c r="X94" s="22">
        <v>32721</v>
      </c>
      <c r="Y94" s="23">
        <f t="shared" si="21"/>
        <v>44141.609341850279</v>
      </c>
      <c r="Z94" s="24">
        <f t="shared" si="22"/>
        <v>1349.0299606323242</v>
      </c>
      <c r="AA94" s="30">
        <v>1015.1599731445313</v>
      </c>
      <c r="AB94" s="30">
        <v>268.32998657226563</v>
      </c>
      <c r="AC94" s="30">
        <v>65.540000915527344</v>
      </c>
      <c r="AD94" s="25">
        <f t="shared" si="23"/>
        <v>0</v>
      </c>
      <c r="AE94" s="26">
        <f t="shared" si="24"/>
        <v>0</v>
      </c>
      <c r="AF94" s="26">
        <f t="shared" si="25"/>
        <v>0</v>
      </c>
      <c r="AG94" s="26">
        <f t="shared" si="26"/>
        <v>0</v>
      </c>
      <c r="AH94" s="25">
        <f t="shared" si="27"/>
        <v>0</v>
      </c>
      <c r="AI94" s="25">
        <f t="shared" si="28"/>
        <v>0</v>
      </c>
      <c r="AJ94" s="25">
        <f t="shared" si="29"/>
        <v>0</v>
      </c>
      <c r="AK94" s="25">
        <f t="shared" si="30"/>
        <v>0</v>
      </c>
      <c r="BA94" s="34">
        <f t="shared" si="31"/>
        <v>33217049.481262207</v>
      </c>
      <c r="BB94" s="34">
        <f t="shared" si="32"/>
        <v>8780025.4906311035</v>
      </c>
      <c r="BC94" s="34">
        <f t="shared" si="33"/>
        <v>2144534.3699569702</v>
      </c>
    </row>
    <row r="95" spans="2:55">
      <c r="B95" s="2" t="s">
        <v>66</v>
      </c>
      <c r="C95" s="2" t="s">
        <v>67</v>
      </c>
      <c r="D95" s="2" t="s">
        <v>81</v>
      </c>
      <c r="E95" s="33" t="s">
        <v>79</v>
      </c>
      <c r="F95" s="2" t="s">
        <v>68</v>
      </c>
      <c r="G95" s="2" t="s">
        <v>80</v>
      </c>
      <c r="H95" s="2" t="s">
        <v>117</v>
      </c>
      <c r="I95" s="2" t="s">
        <v>117</v>
      </c>
      <c r="J95" s="2" t="s">
        <v>117</v>
      </c>
      <c r="K95" s="2" t="s">
        <v>69</v>
      </c>
      <c r="L95" s="2" t="s">
        <v>98</v>
      </c>
      <c r="M95" s="2" t="s">
        <v>87</v>
      </c>
      <c r="N95" s="2" t="s">
        <v>115</v>
      </c>
      <c r="O95" s="2" t="s">
        <v>117</v>
      </c>
      <c r="P95" s="2" t="s">
        <v>110</v>
      </c>
      <c r="Q95" s="31">
        <v>0</v>
      </c>
      <c r="R95" s="2" t="s">
        <v>117</v>
      </c>
      <c r="S95" s="2" t="s">
        <v>120</v>
      </c>
      <c r="T95" s="20">
        <v>46082</v>
      </c>
      <c r="U95" s="32">
        <v>1</v>
      </c>
      <c r="V95" s="32">
        <v>1</v>
      </c>
      <c r="W95" s="22">
        <f t="shared" si="20"/>
        <v>1</v>
      </c>
      <c r="X95" s="22">
        <v>13742</v>
      </c>
      <c r="Y95" s="23">
        <f t="shared" si="21"/>
        <v>20905.291451028465</v>
      </c>
      <c r="Z95" s="24">
        <f t="shared" si="22"/>
        <v>1521.2699353098869</v>
      </c>
      <c r="AA95" s="30">
        <v>1225.5699462890625</v>
      </c>
      <c r="AB95" s="30">
        <v>294.76998901367188</v>
      </c>
      <c r="AC95" s="30">
        <v>0.93000000715255737</v>
      </c>
      <c r="AD95" s="25">
        <f t="shared" si="23"/>
        <v>0</v>
      </c>
      <c r="AE95" s="26">
        <f t="shared" si="24"/>
        <v>0</v>
      </c>
      <c r="AF95" s="26">
        <f t="shared" si="25"/>
        <v>0</v>
      </c>
      <c r="AG95" s="26">
        <f t="shared" si="26"/>
        <v>0</v>
      </c>
      <c r="AH95" s="25">
        <f t="shared" si="27"/>
        <v>0</v>
      </c>
      <c r="AI95" s="25">
        <f t="shared" si="28"/>
        <v>0</v>
      </c>
      <c r="AJ95" s="25">
        <f t="shared" si="29"/>
        <v>0</v>
      </c>
      <c r="AK95" s="25">
        <f t="shared" si="30"/>
        <v>0</v>
      </c>
      <c r="BA95" s="34">
        <f t="shared" si="31"/>
        <v>16841782.201904297</v>
      </c>
      <c r="BB95" s="34">
        <f t="shared" si="32"/>
        <v>4050729.1890258789</v>
      </c>
      <c r="BC95" s="34">
        <f t="shared" si="33"/>
        <v>12780.060098290443</v>
      </c>
    </row>
    <row r="96" spans="2:55">
      <c r="B96" s="2" t="s">
        <v>129</v>
      </c>
      <c r="C96" s="2" t="s">
        <v>130</v>
      </c>
      <c r="D96" s="2" t="s">
        <v>81</v>
      </c>
      <c r="E96" s="33" t="s">
        <v>79</v>
      </c>
      <c r="F96" s="2" t="s">
        <v>68</v>
      </c>
      <c r="G96" s="28" t="s">
        <v>80</v>
      </c>
      <c r="H96" s="2" t="s">
        <v>117</v>
      </c>
      <c r="I96" s="2" t="s">
        <v>117</v>
      </c>
      <c r="J96" s="2" t="s">
        <v>117</v>
      </c>
      <c r="K96" s="2" t="s">
        <v>69</v>
      </c>
      <c r="L96" s="2" t="s">
        <v>127</v>
      </c>
      <c r="M96" s="2" t="s">
        <v>123</v>
      </c>
      <c r="N96" s="2" t="s">
        <v>115</v>
      </c>
      <c r="O96" s="2" t="s">
        <v>117</v>
      </c>
      <c r="P96" s="2" t="s">
        <v>111</v>
      </c>
      <c r="Q96" s="31"/>
      <c r="R96" s="2" t="s">
        <v>117</v>
      </c>
      <c r="S96" s="2" t="s">
        <v>120</v>
      </c>
      <c r="T96" s="20">
        <v>46082</v>
      </c>
      <c r="U96" s="32">
        <v>1</v>
      </c>
      <c r="V96" s="32">
        <v>1</v>
      </c>
      <c r="W96" s="22">
        <f t="shared" si="20"/>
        <v>1</v>
      </c>
      <c r="X96" s="22">
        <v>30389</v>
      </c>
      <c r="Y96" s="23">
        <f t="shared" si="21"/>
        <v>48131.922833721161</v>
      </c>
      <c r="Z96" s="24">
        <f t="shared" si="22"/>
        <v>1583.8600425720215</v>
      </c>
      <c r="AA96" s="30">
        <v>1279.0400390625</v>
      </c>
      <c r="AB96" s="30">
        <v>250.52000427246094</v>
      </c>
      <c r="AC96" s="30">
        <v>54.299999237060547</v>
      </c>
      <c r="AD96" s="25">
        <f t="shared" si="23"/>
        <v>0</v>
      </c>
      <c r="AE96" s="26">
        <f t="shared" si="24"/>
        <v>0</v>
      </c>
      <c r="AF96" s="26">
        <f t="shared" si="25"/>
        <v>0</v>
      </c>
      <c r="AG96" s="26">
        <f t="shared" si="26"/>
        <v>0</v>
      </c>
      <c r="AH96" s="25">
        <f t="shared" si="27"/>
        <v>0</v>
      </c>
      <c r="AI96" s="25">
        <f t="shared" si="28"/>
        <v>0</v>
      </c>
      <c r="AJ96" s="25">
        <f t="shared" si="29"/>
        <v>0</v>
      </c>
      <c r="AK96" s="25">
        <f t="shared" si="30"/>
        <v>0</v>
      </c>
      <c r="BA96" s="34">
        <f t="shared" si="31"/>
        <v>38868747.747070313</v>
      </c>
      <c r="BB96" s="34">
        <f t="shared" si="32"/>
        <v>7613052.4098358154</v>
      </c>
      <c r="BC96" s="34">
        <f t="shared" si="33"/>
        <v>1650122.676815033</v>
      </c>
    </row>
    <row r="97" spans="2:55">
      <c r="B97" s="2" t="s">
        <v>66</v>
      </c>
      <c r="C97" s="2" t="s">
        <v>67</v>
      </c>
      <c r="D97" s="2" t="s">
        <v>81</v>
      </c>
      <c r="E97" s="33" t="s">
        <v>79</v>
      </c>
      <c r="F97" s="2" t="s">
        <v>68</v>
      </c>
      <c r="G97" s="2" t="s">
        <v>80</v>
      </c>
      <c r="H97" s="2" t="s">
        <v>117</v>
      </c>
      <c r="I97" s="2" t="s">
        <v>117</v>
      </c>
      <c r="J97" s="2" t="s">
        <v>117</v>
      </c>
      <c r="K97" s="2" t="s">
        <v>82</v>
      </c>
      <c r="L97" s="2" t="s">
        <v>99</v>
      </c>
      <c r="M97" s="2" t="s">
        <v>92</v>
      </c>
      <c r="N97" s="2" t="s">
        <v>115</v>
      </c>
      <c r="O97" s="2" t="s">
        <v>117</v>
      </c>
      <c r="P97" s="2" t="s">
        <v>110</v>
      </c>
      <c r="Q97" s="31">
        <v>0</v>
      </c>
      <c r="R97" s="2" t="s">
        <v>117</v>
      </c>
      <c r="S97" s="2" t="s">
        <v>107</v>
      </c>
      <c r="T97" s="20">
        <v>46082</v>
      </c>
      <c r="U97" s="32">
        <v>1</v>
      </c>
      <c r="V97" s="32">
        <v>1</v>
      </c>
      <c r="W97" s="22">
        <f t="shared" si="20"/>
        <v>1300</v>
      </c>
      <c r="X97" s="22">
        <v>49182</v>
      </c>
      <c r="Y97" s="23">
        <f t="shared" si="21"/>
        <v>82383.785025283811</v>
      </c>
      <c r="Z97" s="24">
        <f t="shared" si="22"/>
        <v>1675.0800094604492</v>
      </c>
      <c r="AA97" s="30">
        <v>1432.6400146484375</v>
      </c>
      <c r="AB97" s="30">
        <v>165.08999633789063</v>
      </c>
      <c r="AC97" s="30">
        <v>77.349998474121094</v>
      </c>
      <c r="AD97" s="25">
        <f t="shared" si="23"/>
        <v>1288.5230842003457</v>
      </c>
      <c r="AE97" s="26">
        <f t="shared" si="24"/>
        <v>1229.0230853740986</v>
      </c>
      <c r="AF97" s="26">
        <f t="shared" si="25"/>
        <v>59.499998826246994</v>
      </c>
      <c r="AG97" s="26">
        <f t="shared" si="26"/>
        <v>0</v>
      </c>
      <c r="AH97" s="25">
        <f t="shared" si="27"/>
        <v>63.372142327141404</v>
      </c>
      <c r="AI97" s="25">
        <f t="shared" si="28"/>
        <v>60.44581338486892</v>
      </c>
      <c r="AJ97" s="25">
        <f t="shared" si="29"/>
        <v>2.9263289422724799</v>
      </c>
      <c r="AK97" s="25">
        <f t="shared" si="30"/>
        <v>0</v>
      </c>
      <c r="BA97" s="34">
        <f t="shared" si="31"/>
        <v>70460101.200439453</v>
      </c>
      <c r="BB97" s="34">
        <f t="shared" si="32"/>
        <v>8119456.1998901367</v>
      </c>
      <c r="BC97" s="34">
        <f t="shared" si="33"/>
        <v>3804227.6249542236</v>
      </c>
    </row>
    <row r="98" spans="2:55">
      <c r="B98" s="2" t="s">
        <v>66</v>
      </c>
      <c r="C98" s="2" t="s">
        <v>67</v>
      </c>
      <c r="D98" s="2" t="s">
        <v>81</v>
      </c>
      <c r="E98" s="2" t="s">
        <v>79</v>
      </c>
      <c r="F98" s="2" t="s">
        <v>68</v>
      </c>
      <c r="G98" s="2" t="s">
        <v>80</v>
      </c>
      <c r="H98" s="2" t="s">
        <v>117</v>
      </c>
      <c r="I98" s="2" t="s">
        <v>117</v>
      </c>
      <c r="J98" s="2" t="s">
        <v>117</v>
      </c>
      <c r="K98" s="2" t="s">
        <v>82</v>
      </c>
      <c r="L98" s="2" t="s">
        <v>99</v>
      </c>
      <c r="M98" s="2" t="s">
        <v>90</v>
      </c>
      <c r="N98" s="2" t="s">
        <v>115</v>
      </c>
      <c r="O98" s="2" t="s">
        <v>117</v>
      </c>
      <c r="P98" s="2" t="s">
        <v>111</v>
      </c>
      <c r="Q98" s="31">
        <v>0</v>
      </c>
      <c r="R98" s="2" t="s">
        <v>117</v>
      </c>
      <c r="S98" s="2" t="s">
        <v>101</v>
      </c>
      <c r="T98" s="20">
        <v>46082</v>
      </c>
      <c r="U98" s="32">
        <v>1</v>
      </c>
      <c r="V98" s="32">
        <v>1</v>
      </c>
      <c r="W98" s="22">
        <f t="shared" si="20"/>
        <v>1300</v>
      </c>
      <c r="X98" s="22">
        <v>20673</v>
      </c>
      <c r="Y98" s="23">
        <f t="shared" si="21"/>
        <v>26868.69803691101</v>
      </c>
      <c r="Z98" s="24">
        <f t="shared" si="22"/>
        <v>1299.6999969482422</v>
      </c>
      <c r="AA98" s="30">
        <v>1109.8699951171875</v>
      </c>
      <c r="AB98" s="30">
        <v>105.81999969482422</v>
      </c>
      <c r="AC98" s="30">
        <v>84.010002136230469</v>
      </c>
      <c r="AD98" s="25">
        <f t="shared" si="23"/>
        <v>999.76922842172485</v>
      </c>
      <c r="AE98" s="26">
        <f t="shared" si="24"/>
        <v>623.43076657026245</v>
      </c>
      <c r="AF98" s="26">
        <f t="shared" si="25"/>
        <v>64.623078566331131</v>
      </c>
      <c r="AG98" s="26">
        <f t="shared" si="26"/>
        <v>311.71538328513122</v>
      </c>
      <c r="AH98" s="25">
        <f t="shared" si="27"/>
        <v>20.668229259162317</v>
      </c>
      <c r="AI98" s="25">
        <f t="shared" si="28"/>
        <v>12.888184237307037</v>
      </c>
      <c r="AJ98" s="25">
        <f t="shared" si="29"/>
        <v>1.3359529032017634</v>
      </c>
      <c r="AK98" s="25">
        <f t="shared" si="30"/>
        <v>6.4440921186535185</v>
      </c>
      <c r="BA98" s="34">
        <f t="shared" si="31"/>
        <v>22944342.409057617</v>
      </c>
      <c r="BB98" s="34">
        <f t="shared" si="32"/>
        <v>2187616.8536911011</v>
      </c>
      <c r="BC98" s="34">
        <f t="shared" si="33"/>
        <v>1736738.7741622925</v>
      </c>
    </row>
    <row r="99" spans="2:55">
      <c r="B99" s="2" t="s">
        <v>66</v>
      </c>
      <c r="C99" s="2" t="s">
        <v>67</v>
      </c>
      <c r="D99" s="2" t="s">
        <v>81</v>
      </c>
      <c r="E99" s="2" t="s">
        <v>79</v>
      </c>
      <c r="F99" s="2" t="s">
        <v>68</v>
      </c>
      <c r="G99" s="2" t="s">
        <v>80</v>
      </c>
      <c r="H99" s="2" t="s">
        <v>117</v>
      </c>
      <c r="I99" s="2" t="s">
        <v>117</v>
      </c>
      <c r="J99" s="2" t="s">
        <v>117</v>
      </c>
      <c r="K99" s="2" t="s">
        <v>82</v>
      </c>
      <c r="L99" s="2" t="s">
        <v>99</v>
      </c>
      <c r="M99" s="2" t="s">
        <v>90</v>
      </c>
      <c r="N99" s="2" t="s">
        <v>115</v>
      </c>
      <c r="O99" s="2" t="s">
        <v>117</v>
      </c>
      <c r="P99" s="2" t="s">
        <v>111</v>
      </c>
      <c r="Q99" s="31">
        <v>0</v>
      </c>
      <c r="R99" s="2" t="s">
        <v>117</v>
      </c>
      <c r="S99" s="2" t="s">
        <v>102</v>
      </c>
      <c r="T99" s="20">
        <v>46082</v>
      </c>
      <c r="U99" s="32">
        <v>1</v>
      </c>
      <c r="V99" s="32">
        <v>1</v>
      </c>
      <c r="W99" s="22">
        <f t="shared" si="20"/>
        <v>1300</v>
      </c>
      <c r="X99" s="22">
        <v>2103</v>
      </c>
      <c r="Y99" s="23">
        <f t="shared" si="21"/>
        <v>2610.5379962539673</v>
      </c>
      <c r="Z99" s="24">
        <f t="shared" si="22"/>
        <v>1241.3399887084961</v>
      </c>
      <c r="AA99" s="30">
        <v>1013.1199951171875</v>
      </c>
      <c r="AB99" s="30">
        <v>201.25999450683594</v>
      </c>
      <c r="AC99" s="30">
        <v>26.959999084472656</v>
      </c>
      <c r="AD99" s="25">
        <f t="shared" si="23"/>
        <v>954.87691439115088</v>
      </c>
      <c r="AE99" s="26">
        <f t="shared" si="24"/>
        <v>934.13845355694116</v>
      </c>
      <c r="AF99" s="26">
        <f t="shared" si="25"/>
        <v>20.738460834209736</v>
      </c>
      <c r="AG99" s="26">
        <f t="shared" si="26"/>
        <v>0</v>
      </c>
      <c r="AH99" s="25">
        <f t="shared" si="27"/>
        <v>2.0081061509645903</v>
      </c>
      <c r="AI99" s="25">
        <f t="shared" si="28"/>
        <v>1.9644931678302473</v>
      </c>
      <c r="AJ99" s="25">
        <f t="shared" si="29"/>
        <v>4.3612983134343079E-2</v>
      </c>
      <c r="AK99" s="25">
        <f t="shared" si="30"/>
        <v>0</v>
      </c>
      <c r="BA99" s="34">
        <f t="shared" si="31"/>
        <v>2130591.3497314453</v>
      </c>
      <c r="BB99" s="34">
        <f t="shared" si="32"/>
        <v>423249.76844787598</v>
      </c>
      <c r="BC99" s="34">
        <f t="shared" si="33"/>
        <v>56696.878074645996</v>
      </c>
    </row>
    <row r="100" spans="2:55">
      <c r="B100" s="2" t="s">
        <v>66</v>
      </c>
      <c r="C100" s="2" t="s">
        <v>67</v>
      </c>
      <c r="D100" s="2" t="s">
        <v>81</v>
      </c>
      <c r="E100" s="2" t="s">
        <v>79</v>
      </c>
      <c r="F100" s="2" t="s">
        <v>68</v>
      </c>
      <c r="G100" s="2" t="s">
        <v>80</v>
      </c>
      <c r="H100" s="2" t="s">
        <v>117</v>
      </c>
      <c r="I100" s="2" t="s">
        <v>117</v>
      </c>
      <c r="J100" s="2" t="s">
        <v>117</v>
      </c>
      <c r="K100" s="2" t="s">
        <v>82</v>
      </c>
      <c r="L100" s="2" t="s">
        <v>99</v>
      </c>
      <c r="M100" s="2" t="s">
        <v>90</v>
      </c>
      <c r="N100" s="2" t="s">
        <v>115</v>
      </c>
      <c r="O100" s="2" t="s">
        <v>117</v>
      </c>
      <c r="P100" s="2" t="s">
        <v>111</v>
      </c>
      <c r="Q100" s="31">
        <v>0</v>
      </c>
      <c r="R100" s="2" t="s">
        <v>117</v>
      </c>
      <c r="S100" s="2" t="s">
        <v>139</v>
      </c>
      <c r="T100" s="20">
        <v>46082</v>
      </c>
      <c r="U100" s="32">
        <v>1</v>
      </c>
      <c r="V100" s="32">
        <v>1</v>
      </c>
      <c r="W100" s="22">
        <f t="shared" si="20"/>
        <v>1300</v>
      </c>
      <c r="X100" s="22">
        <v>42561</v>
      </c>
      <c r="Y100" s="23">
        <f t="shared" si="21"/>
        <v>71293.081906219479</v>
      </c>
      <c r="Z100" s="24">
        <f t="shared" si="22"/>
        <v>1675.0800476074219</v>
      </c>
      <c r="AA100" s="30">
        <v>1436.1800537109375</v>
      </c>
      <c r="AB100" s="30">
        <v>139.64999389648438</v>
      </c>
      <c r="AC100" s="30">
        <v>99.25</v>
      </c>
      <c r="AD100" s="25">
        <f t="shared" si="23"/>
        <v>1288.5231135441707</v>
      </c>
      <c r="AE100" s="26">
        <f t="shared" si="24"/>
        <v>1212.1769596980168</v>
      </c>
      <c r="AF100" s="26">
        <f t="shared" si="25"/>
        <v>76.34615384615384</v>
      </c>
      <c r="AG100" s="26">
        <f t="shared" si="26"/>
        <v>0</v>
      </c>
      <c r="AH100" s="25">
        <f t="shared" si="27"/>
        <v>54.840832235553449</v>
      </c>
      <c r="AI100" s="25">
        <f t="shared" si="28"/>
        <v>51.591463581707295</v>
      </c>
      <c r="AJ100" s="25">
        <f t="shared" si="29"/>
        <v>3.2493686538461537</v>
      </c>
      <c r="AK100" s="25">
        <f t="shared" si="30"/>
        <v>0</v>
      </c>
      <c r="BA100" s="34">
        <f t="shared" si="31"/>
        <v>61125259.265991211</v>
      </c>
      <c r="BB100" s="34">
        <f t="shared" si="32"/>
        <v>5943643.3902282715</v>
      </c>
      <c r="BC100" s="34">
        <f t="shared" si="33"/>
        <v>4224179.25</v>
      </c>
    </row>
    <row r="101" spans="2:55">
      <c r="B101" s="2" t="s">
        <v>66</v>
      </c>
      <c r="C101" s="2" t="s">
        <v>67</v>
      </c>
      <c r="D101" s="2" t="s">
        <v>81</v>
      </c>
      <c r="E101" s="2" t="s">
        <v>79</v>
      </c>
      <c r="F101" s="2" t="s">
        <v>68</v>
      </c>
      <c r="G101" s="2" t="s">
        <v>80</v>
      </c>
      <c r="H101" s="2" t="s">
        <v>117</v>
      </c>
      <c r="I101" s="2" t="s">
        <v>117</v>
      </c>
      <c r="J101" s="2" t="s">
        <v>117</v>
      </c>
      <c r="K101" s="2" t="s">
        <v>82</v>
      </c>
      <c r="L101" s="2" t="s">
        <v>99</v>
      </c>
      <c r="M101" s="2" t="s">
        <v>90</v>
      </c>
      <c r="N101" s="2" t="s">
        <v>115</v>
      </c>
      <c r="O101" s="2" t="s">
        <v>117</v>
      </c>
      <c r="P101" s="2" t="s">
        <v>111</v>
      </c>
      <c r="Q101" s="31">
        <v>0</v>
      </c>
      <c r="R101" s="2" t="s">
        <v>117</v>
      </c>
      <c r="S101" s="2" t="s">
        <v>106</v>
      </c>
      <c r="T101" s="20">
        <v>46082</v>
      </c>
      <c r="U101" s="32">
        <v>1</v>
      </c>
      <c r="V101" s="32">
        <v>1</v>
      </c>
      <c r="W101" s="22">
        <f t="shared" si="20"/>
        <v>1300</v>
      </c>
      <c r="X101" s="22">
        <v>30636</v>
      </c>
      <c r="Y101" s="23">
        <f t="shared" si="21"/>
        <v>33081.978478408811</v>
      </c>
      <c r="Z101" s="24">
        <f t="shared" si="22"/>
        <v>1079.8400077819824</v>
      </c>
      <c r="AA101" s="30">
        <v>776.760009765625</v>
      </c>
      <c r="AB101" s="30">
        <v>242.30999755859375</v>
      </c>
      <c r="AC101" s="30">
        <v>60.770000457763672</v>
      </c>
      <c r="AD101" s="25">
        <f t="shared" si="23"/>
        <v>830.64615983229419</v>
      </c>
      <c r="AE101" s="26">
        <f t="shared" si="24"/>
        <v>783.90000563401441</v>
      </c>
      <c r="AF101" s="26">
        <f t="shared" si="25"/>
        <v>46.746154198279747</v>
      </c>
      <c r="AG101" s="26">
        <f t="shared" si="26"/>
        <v>0</v>
      </c>
      <c r="AH101" s="25">
        <f t="shared" si="27"/>
        <v>25.447675752622164</v>
      </c>
      <c r="AI101" s="25">
        <f t="shared" si="28"/>
        <v>24.015560572603665</v>
      </c>
      <c r="AJ101" s="25">
        <f t="shared" si="29"/>
        <v>1.4321151800184984</v>
      </c>
      <c r="AK101" s="25">
        <f t="shared" si="30"/>
        <v>0</v>
      </c>
      <c r="BA101" s="34">
        <f t="shared" si="31"/>
        <v>23796819.659179688</v>
      </c>
      <c r="BB101" s="34">
        <f t="shared" si="32"/>
        <v>7423409.0852050781</v>
      </c>
      <c r="BC101" s="34">
        <f t="shared" si="33"/>
        <v>1861749.7340240479</v>
      </c>
    </row>
    <row r="102" spans="2:55">
      <c r="B102" s="2" t="s">
        <v>66</v>
      </c>
      <c r="C102" s="2" t="s">
        <v>67</v>
      </c>
      <c r="D102" s="2" t="s">
        <v>81</v>
      </c>
      <c r="E102" s="2" t="s">
        <v>79</v>
      </c>
      <c r="F102" s="2" t="s">
        <v>68</v>
      </c>
      <c r="G102" s="2" t="s">
        <v>80</v>
      </c>
      <c r="H102" s="2" t="s">
        <v>117</v>
      </c>
      <c r="I102" s="2" t="s">
        <v>117</v>
      </c>
      <c r="J102" s="2" t="s">
        <v>117</v>
      </c>
      <c r="K102" s="2" t="s">
        <v>82</v>
      </c>
      <c r="L102" s="2" t="s">
        <v>99</v>
      </c>
      <c r="M102" s="2" t="s">
        <v>90</v>
      </c>
      <c r="N102" s="2" t="s">
        <v>115</v>
      </c>
      <c r="O102" s="2" t="s">
        <v>117</v>
      </c>
      <c r="P102" s="2" t="s">
        <v>111</v>
      </c>
      <c r="Q102" s="31">
        <v>0</v>
      </c>
      <c r="R102" s="2" t="s">
        <v>117</v>
      </c>
      <c r="S102" s="2" t="s">
        <v>105</v>
      </c>
      <c r="T102" s="20">
        <v>46082</v>
      </c>
      <c r="U102" s="32">
        <v>1</v>
      </c>
      <c r="V102" s="32">
        <v>1</v>
      </c>
      <c r="W102" s="22">
        <f t="shared" si="20"/>
        <v>1300</v>
      </c>
      <c r="X102" s="22">
        <v>4575</v>
      </c>
      <c r="Y102" s="23">
        <f t="shared" si="21"/>
        <v>8010.8248603820803</v>
      </c>
      <c r="Z102" s="24">
        <f t="shared" si="22"/>
        <v>1750.9999694824219</v>
      </c>
      <c r="AA102" s="30">
        <v>1448.969970703125</v>
      </c>
      <c r="AB102" s="30">
        <v>212.1199951171875</v>
      </c>
      <c r="AC102" s="30">
        <v>89.910003662109375</v>
      </c>
      <c r="AD102" s="25">
        <f t="shared" si="23"/>
        <v>1346.9230534480168</v>
      </c>
      <c r="AE102" s="26">
        <f t="shared" si="24"/>
        <v>1277.7615121694712</v>
      </c>
      <c r="AF102" s="26">
        <f t="shared" si="25"/>
        <v>69.161541278545684</v>
      </c>
      <c r="AG102" s="26">
        <f t="shared" si="26"/>
        <v>0</v>
      </c>
      <c r="AH102" s="25">
        <f t="shared" si="27"/>
        <v>6.1621729695246765</v>
      </c>
      <c r="AI102" s="25">
        <f t="shared" si="28"/>
        <v>5.8457589181753304</v>
      </c>
      <c r="AJ102" s="25">
        <f t="shared" si="29"/>
        <v>0.31641405134934653</v>
      </c>
      <c r="AK102" s="25">
        <f t="shared" si="30"/>
        <v>0</v>
      </c>
      <c r="BA102" s="34">
        <f t="shared" si="31"/>
        <v>6629037.6159667969</v>
      </c>
      <c r="BB102" s="34">
        <f t="shared" si="32"/>
        <v>970448.97766113281</v>
      </c>
      <c r="BC102" s="34">
        <f t="shared" si="33"/>
        <v>411338.26675415039</v>
      </c>
    </row>
    <row r="103" spans="2:55">
      <c r="B103" s="2" t="s">
        <v>66</v>
      </c>
      <c r="C103" s="2" t="s">
        <v>67</v>
      </c>
      <c r="D103" s="2" t="s">
        <v>81</v>
      </c>
      <c r="E103" s="2" t="s">
        <v>79</v>
      </c>
      <c r="F103" s="2" t="s">
        <v>68</v>
      </c>
      <c r="G103" s="2" t="s">
        <v>80</v>
      </c>
      <c r="H103" s="2" t="s">
        <v>117</v>
      </c>
      <c r="I103" s="2" t="s">
        <v>117</v>
      </c>
      <c r="J103" s="2" t="s">
        <v>117</v>
      </c>
      <c r="K103" s="2" t="s">
        <v>82</v>
      </c>
      <c r="L103" s="2" t="s">
        <v>99</v>
      </c>
      <c r="M103" s="2" t="s">
        <v>90</v>
      </c>
      <c r="N103" s="2" t="s">
        <v>115</v>
      </c>
      <c r="O103" s="2" t="s">
        <v>117</v>
      </c>
      <c r="P103" s="2" t="s">
        <v>111</v>
      </c>
      <c r="Q103" s="31">
        <v>0</v>
      </c>
      <c r="R103" s="2" t="s">
        <v>117</v>
      </c>
      <c r="S103" s="2" t="s">
        <v>107</v>
      </c>
      <c r="T103" s="20">
        <v>46082</v>
      </c>
      <c r="U103" s="32">
        <v>1</v>
      </c>
      <c r="V103" s="32">
        <v>1</v>
      </c>
      <c r="W103" s="22">
        <f t="shared" si="20"/>
        <v>1300</v>
      </c>
      <c r="X103" s="22">
        <v>24941</v>
      </c>
      <c r="Y103" s="23">
        <f t="shared" si="21"/>
        <v>22767.143109802248</v>
      </c>
      <c r="Z103" s="24">
        <f t="shared" si="22"/>
        <v>912.84002685546875</v>
      </c>
      <c r="AA103" s="30">
        <v>795.84002685546875</v>
      </c>
      <c r="AB103" s="30">
        <v>56.939998626708984</v>
      </c>
      <c r="AC103" s="30">
        <v>60.060001373291016</v>
      </c>
      <c r="AD103" s="25">
        <f t="shared" si="23"/>
        <v>702.18463604266822</v>
      </c>
      <c r="AE103" s="26">
        <f t="shared" si="24"/>
        <v>655.98463498629053</v>
      </c>
      <c r="AF103" s="26">
        <f t="shared" si="25"/>
        <v>46.200001056377708</v>
      </c>
      <c r="AG103" s="26">
        <f t="shared" si="26"/>
        <v>0</v>
      </c>
      <c r="AH103" s="25">
        <f t="shared" si="27"/>
        <v>17.513187007540189</v>
      </c>
      <c r="AI103" s="25">
        <f t="shared" si="28"/>
        <v>16.360912781193072</v>
      </c>
      <c r="AJ103" s="25">
        <f t="shared" si="29"/>
        <v>1.1522742263471166</v>
      </c>
      <c r="AK103" s="25">
        <f t="shared" si="30"/>
        <v>0</v>
      </c>
      <c r="BA103" s="34">
        <f t="shared" si="31"/>
        <v>19849046.109802246</v>
      </c>
      <c r="BB103" s="34">
        <f t="shared" si="32"/>
        <v>1420140.5057487488</v>
      </c>
      <c r="BC103" s="34">
        <f t="shared" si="33"/>
        <v>1497956.4942512512</v>
      </c>
    </row>
    <row r="104" spans="2:55">
      <c r="B104" s="2" t="s">
        <v>66</v>
      </c>
      <c r="C104" s="2" t="s">
        <v>67</v>
      </c>
      <c r="D104" s="2" t="s">
        <v>81</v>
      </c>
      <c r="E104" s="2" t="s">
        <v>79</v>
      </c>
      <c r="F104" s="2" t="s">
        <v>68</v>
      </c>
      <c r="G104" s="2" t="s">
        <v>80</v>
      </c>
      <c r="H104" s="2" t="s">
        <v>117</v>
      </c>
      <c r="I104" s="2" t="s">
        <v>117</v>
      </c>
      <c r="J104" s="2" t="s">
        <v>117</v>
      </c>
      <c r="K104" s="2" t="s">
        <v>82</v>
      </c>
      <c r="L104" s="2" t="s">
        <v>99</v>
      </c>
      <c r="M104" s="2" t="s">
        <v>90</v>
      </c>
      <c r="N104" s="2" t="s">
        <v>115</v>
      </c>
      <c r="O104" s="2" t="s">
        <v>117</v>
      </c>
      <c r="P104" s="2" t="s">
        <v>111</v>
      </c>
      <c r="Q104" s="31">
        <v>0</v>
      </c>
      <c r="R104" s="2" t="s">
        <v>117</v>
      </c>
      <c r="S104" s="2" t="s">
        <v>140</v>
      </c>
      <c r="T104" s="20">
        <v>46082</v>
      </c>
      <c r="U104" s="32">
        <v>1</v>
      </c>
      <c r="V104" s="32">
        <v>1</v>
      </c>
      <c r="W104" s="22">
        <f t="shared" si="20"/>
        <v>1300</v>
      </c>
      <c r="X104" s="22">
        <v>9766</v>
      </c>
      <c r="Y104" s="23">
        <f t="shared" si="21"/>
        <v>15928.346186271667</v>
      </c>
      <c r="Z104" s="24">
        <f t="shared" si="22"/>
        <v>1631.0000190734863</v>
      </c>
      <c r="AA104" s="30">
        <v>1401.77001953125</v>
      </c>
      <c r="AB104" s="30">
        <v>188.02999877929688</v>
      </c>
      <c r="AC104" s="30">
        <v>41.200000762939453</v>
      </c>
      <c r="AD104" s="25">
        <f t="shared" si="23"/>
        <v>1254.6153992872971</v>
      </c>
      <c r="AE104" s="26">
        <f t="shared" si="24"/>
        <v>1222.923091008113</v>
      </c>
      <c r="AF104" s="26">
        <f t="shared" si="25"/>
        <v>31.692308279184193</v>
      </c>
      <c r="AG104" s="26">
        <f t="shared" si="26"/>
        <v>0</v>
      </c>
      <c r="AH104" s="25">
        <f t="shared" si="27"/>
        <v>12.252573989439744</v>
      </c>
      <c r="AI104" s="25">
        <f t="shared" si="28"/>
        <v>11.943066906785232</v>
      </c>
      <c r="AJ104" s="25">
        <f t="shared" si="29"/>
        <v>0.30950708265451282</v>
      </c>
      <c r="AK104" s="25">
        <f t="shared" si="30"/>
        <v>0</v>
      </c>
      <c r="BA104" s="34">
        <f t="shared" si="31"/>
        <v>13689686.010742188</v>
      </c>
      <c r="BB104" s="34">
        <f t="shared" si="32"/>
        <v>1836300.9680786133</v>
      </c>
      <c r="BC104" s="34">
        <f t="shared" si="33"/>
        <v>402359.2074508667</v>
      </c>
    </row>
    <row r="105" spans="2:55">
      <c r="B105" s="2" t="s">
        <v>66</v>
      </c>
      <c r="C105" s="2" t="s">
        <v>67</v>
      </c>
      <c r="D105" s="2" t="s">
        <v>81</v>
      </c>
      <c r="E105" s="2" t="s">
        <v>79</v>
      </c>
      <c r="F105" s="2" t="s">
        <v>68</v>
      </c>
      <c r="G105" s="2" t="s">
        <v>80</v>
      </c>
      <c r="H105" s="2" t="s">
        <v>117</v>
      </c>
      <c r="I105" s="2" t="s">
        <v>117</v>
      </c>
      <c r="J105" s="2" t="s">
        <v>117</v>
      </c>
      <c r="K105" s="2" t="s">
        <v>82</v>
      </c>
      <c r="L105" s="2" t="s">
        <v>99</v>
      </c>
      <c r="M105" s="2" t="s">
        <v>90</v>
      </c>
      <c r="N105" s="2" t="s">
        <v>115</v>
      </c>
      <c r="O105" s="2" t="s">
        <v>117</v>
      </c>
      <c r="P105" s="2" t="s">
        <v>111</v>
      </c>
      <c r="Q105" s="31">
        <v>0</v>
      </c>
      <c r="R105" s="2" t="s">
        <v>117</v>
      </c>
      <c r="S105" s="2" t="s">
        <v>109</v>
      </c>
      <c r="T105" s="20">
        <v>46082</v>
      </c>
      <c r="U105" s="32">
        <v>1</v>
      </c>
      <c r="V105" s="32">
        <v>1</v>
      </c>
      <c r="W105" s="22">
        <f t="shared" si="20"/>
        <v>1300</v>
      </c>
      <c r="X105" s="22">
        <v>32210</v>
      </c>
      <c r="Y105" s="23">
        <f t="shared" si="21"/>
        <v>29797.148413429259</v>
      </c>
      <c r="Z105" s="24">
        <f t="shared" si="22"/>
        <v>925.08998489379883</v>
      </c>
      <c r="AA105" s="30">
        <v>805.1099853515625</v>
      </c>
      <c r="AB105" s="30">
        <v>93.529998779296875</v>
      </c>
      <c r="AC105" s="30">
        <v>26.450000762939453</v>
      </c>
      <c r="AD105" s="25">
        <f t="shared" si="23"/>
        <v>711.6076806875376</v>
      </c>
      <c r="AE105" s="26">
        <f t="shared" si="24"/>
        <v>691.2615262545072</v>
      </c>
      <c r="AF105" s="26">
        <f t="shared" si="25"/>
        <v>20.34615443303035</v>
      </c>
      <c r="AG105" s="26">
        <f t="shared" si="26"/>
        <v>0</v>
      </c>
      <c r="AH105" s="25">
        <f t="shared" si="27"/>
        <v>22.920883394945584</v>
      </c>
      <c r="AI105" s="25">
        <f t="shared" si="28"/>
        <v>22.265533760657675</v>
      </c>
      <c r="AJ105" s="25">
        <f t="shared" si="29"/>
        <v>0.65534963428790749</v>
      </c>
      <c r="AK105" s="25">
        <f t="shared" si="30"/>
        <v>0</v>
      </c>
      <c r="BA105" s="34">
        <f t="shared" si="31"/>
        <v>25932592.628173828</v>
      </c>
      <c r="BB105" s="34">
        <f t="shared" si="32"/>
        <v>3012601.2606811523</v>
      </c>
      <c r="BC105" s="34">
        <f t="shared" si="33"/>
        <v>851954.52457427979</v>
      </c>
    </row>
    <row r="106" spans="2:55">
      <c r="B106" s="2" t="s">
        <v>66</v>
      </c>
      <c r="C106" s="2" t="s">
        <v>67</v>
      </c>
      <c r="D106" s="2" t="s">
        <v>81</v>
      </c>
      <c r="E106" s="2" t="s">
        <v>79</v>
      </c>
      <c r="F106" s="2" t="s">
        <v>68</v>
      </c>
      <c r="G106" s="2" t="s">
        <v>80</v>
      </c>
      <c r="H106" s="2" t="s">
        <v>117</v>
      </c>
      <c r="I106" s="2" t="s">
        <v>117</v>
      </c>
      <c r="J106" s="2" t="s">
        <v>117</v>
      </c>
      <c r="K106" s="2" t="s">
        <v>82</v>
      </c>
      <c r="L106" s="2" t="s">
        <v>99</v>
      </c>
      <c r="M106" s="2" t="s">
        <v>90</v>
      </c>
      <c r="N106" s="2" t="s">
        <v>115</v>
      </c>
      <c r="O106" s="2" t="s">
        <v>117</v>
      </c>
      <c r="P106" s="2" t="s">
        <v>111</v>
      </c>
      <c r="Q106" s="31">
        <v>0</v>
      </c>
      <c r="R106" s="2" t="s">
        <v>117</v>
      </c>
      <c r="S106" s="2" t="s">
        <v>108</v>
      </c>
      <c r="T106" s="20">
        <v>46082</v>
      </c>
      <c r="U106" s="32">
        <v>1</v>
      </c>
      <c r="V106" s="32">
        <v>1</v>
      </c>
      <c r="W106" s="22">
        <f t="shared" si="20"/>
        <v>1300</v>
      </c>
      <c r="X106" s="22">
        <v>30717</v>
      </c>
      <c r="Y106" s="23">
        <f t="shared" si="21"/>
        <v>48565.41853889465</v>
      </c>
      <c r="Z106" s="24">
        <f t="shared" si="22"/>
        <v>1581.0599517822266</v>
      </c>
      <c r="AA106" s="30">
        <v>1410.5799560546875</v>
      </c>
      <c r="AB106" s="30">
        <v>86.849998474121094</v>
      </c>
      <c r="AC106" s="30">
        <v>83.629997253417969</v>
      </c>
      <c r="AD106" s="25">
        <f t="shared" si="23"/>
        <v>1216.199962909405</v>
      </c>
      <c r="AE106" s="26">
        <f t="shared" si="24"/>
        <v>1151.8691957913911</v>
      </c>
      <c r="AF106" s="26">
        <f t="shared" si="25"/>
        <v>64.330767118013824</v>
      </c>
      <c r="AG106" s="26">
        <f t="shared" si="26"/>
        <v>0</v>
      </c>
      <c r="AH106" s="25">
        <f t="shared" si="27"/>
        <v>37.358014260688194</v>
      </c>
      <c r="AI106" s="25">
        <f t="shared" si="28"/>
        <v>35.381966087124162</v>
      </c>
      <c r="AJ106" s="25">
        <f t="shared" si="29"/>
        <v>1.9760481735640305</v>
      </c>
      <c r="AK106" s="25">
        <f t="shared" si="30"/>
        <v>0</v>
      </c>
      <c r="BA106" s="34">
        <f t="shared" si="31"/>
        <v>43328784.510131836</v>
      </c>
      <c r="BB106" s="34">
        <f t="shared" si="32"/>
        <v>2667771.4031295776</v>
      </c>
      <c r="BC106" s="34">
        <f t="shared" si="33"/>
        <v>2568862.6256332397</v>
      </c>
    </row>
    <row r="107" spans="2:55">
      <c r="B107" s="2" t="s">
        <v>66</v>
      </c>
      <c r="C107" s="2" t="s">
        <v>67</v>
      </c>
      <c r="D107" s="2" t="s">
        <v>81</v>
      </c>
      <c r="E107" s="2" t="s">
        <v>79</v>
      </c>
      <c r="F107" s="2" t="s">
        <v>68</v>
      </c>
      <c r="G107" s="2" t="s">
        <v>80</v>
      </c>
      <c r="H107" s="2" t="s">
        <v>117</v>
      </c>
      <c r="I107" s="2" t="s">
        <v>117</v>
      </c>
      <c r="J107" s="2" t="s">
        <v>117</v>
      </c>
      <c r="K107" s="2" t="s">
        <v>82</v>
      </c>
      <c r="L107" s="2" t="s">
        <v>99</v>
      </c>
      <c r="M107" s="2" t="s">
        <v>90</v>
      </c>
      <c r="N107" s="2" t="s">
        <v>115</v>
      </c>
      <c r="O107" s="2" t="s">
        <v>117</v>
      </c>
      <c r="P107" s="2" t="s">
        <v>111</v>
      </c>
      <c r="Q107" s="31">
        <v>0</v>
      </c>
      <c r="R107" s="2" t="s">
        <v>117</v>
      </c>
      <c r="S107" s="2" t="s">
        <v>103</v>
      </c>
      <c r="T107" s="20">
        <v>46082</v>
      </c>
      <c r="U107" s="32">
        <v>1</v>
      </c>
      <c r="V107" s="32">
        <v>1</v>
      </c>
      <c r="W107" s="22">
        <f t="shared" si="20"/>
        <v>1300</v>
      </c>
      <c r="X107" s="22">
        <v>31668</v>
      </c>
      <c r="Y107" s="23">
        <f t="shared" si="21"/>
        <v>49524.317532897949</v>
      </c>
      <c r="Z107" s="24">
        <f t="shared" si="22"/>
        <v>1563.8599700927734</v>
      </c>
      <c r="AA107" s="30">
        <v>1401.8399658203125</v>
      </c>
      <c r="AB107" s="30">
        <v>130.16000366210938</v>
      </c>
      <c r="AC107" s="30">
        <v>31.860000610351563</v>
      </c>
      <c r="AD107" s="25">
        <f t="shared" si="23"/>
        <v>1202.9692077636719</v>
      </c>
      <c r="AE107" s="26">
        <f t="shared" si="24"/>
        <v>1178.4615149864783</v>
      </c>
      <c r="AF107" s="26">
        <f t="shared" si="25"/>
        <v>24.507692777193508</v>
      </c>
      <c r="AG107" s="26">
        <f t="shared" si="26"/>
        <v>0</v>
      </c>
      <c r="AH107" s="25">
        <f t="shared" si="27"/>
        <v>38.095628871459958</v>
      </c>
      <c r="AI107" s="25">
        <f t="shared" si="28"/>
        <v>37.319519256591796</v>
      </c>
      <c r="AJ107" s="25">
        <f t="shared" si="29"/>
        <v>0.7761096148681641</v>
      </c>
      <c r="AK107" s="25">
        <f t="shared" si="30"/>
        <v>0</v>
      </c>
      <c r="BA107" s="34">
        <f t="shared" si="31"/>
        <v>44393468.037597656</v>
      </c>
      <c r="BB107" s="34">
        <f t="shared" si="32"/>
        <v>4121906.9959716797</v>
      </c>
      <c r="BC107" s="34">
        <f t="shared" si="33"/>
        <v>1008942.4993286133</v>
      </c>
    </row>
    <row r="108" spans="2:55">
      <c r="B108" s="2" t="s">
        <v>66</v>
      </c>
      <c r="C108" s="2" t="s">
        <v>67</v>
      </c>
      <c r="D108" s="2" t="s">
        <v>81</v>
      </c>
      <c r="E108" s="2" t="s">
        <v>79</v>
      </c>
      <c r="F108" s="2" t="s">
        <v>68</v>
      </c>
      <c r="G108" s="2" t="s">
        <v>80</v>
      </c>
      <c r="H108" s="2" t="s">
        <v>117</v>
      </c>
      <c r="I108" s="2" t="s">
        <v>117</v>
      </c>
      <c r="J108" s="2" t="s">
        <v>117</v>
      </c>
      <c r="K108" s="2" t="s">
        <v>82</v>
      </c>
      <c r="L108" s="2" t="s">
        <v>99</v>
      </c>
      <c r="M108" s="2" t="s">
        <v>90</v>
      </c>
      <c r="N108" s="2" t="s">
        <v>115</v>
      </c>
      <c r="O108" s="2" t="s">
        <v>117</v>
      </c>
      <c r="P108" s="2" t="s">
        <v>111</v>
      </c>
      <c r="Q108" s="31">
        <v>0</v>
      </c>
      <c r="R108" s="2" t="s">
        <v>117</v>
      </c>
      <c r="S108" s="2" t="s">
        <v>104</v>
      </c>
      <c r="T108" s="20">
        <v>46082</v>
      </c>
      <c r="U108" s="32">
        <v>1</v>
      </c>
      <c r="V108" s="32">
        <v>1</v>
      </c>
      <c r="W108" s="22">
        <f t="shared" si="20"/>
        <v>1300</v>
      </c>
      <c r="X108" s="22">
        <v>34542</v>
      </c>
      <c r="Y108" s="23">
        <f t="shared" si="21"/>
        <v>45931.881114486692</v>
      </c>
      <c r="Z108" s="24">
        <f t="shared" si="22"/>
        <v>1329.7400588989258</v>
      </c>
      <c r="AA108" s="30">
        <v>1053.9300537109375</v>
      </c>
      <c r="AB108" s="30">
        <v>232.77000427246094</v>
      </c>
      <c r="AC108" s="30">
        <v>43.040000915527344</v>
      </c>
      <c r="AD108" s="25">
        <f t="shared" si="23"/>
        <v>1022.8769683837891</v>
      </c>
      <c r="AE108" s="26">
        <f t="shared" si="24"/>
        <v>989.76927537184497</v>
      </c>
      <c r="AF108" s="26">
        <f t="shared" si="25"/>
        <v>33.107693011944114</v>
      </c>
      <c r="AG108" s="26">
        <f t="shared" si="26"/>
        <v>0</v>
      </c>
      <c r="AH108" s="25">
        <f t="shared" si="27"/>
        <v>35.332216241912839</v>
      </c>
      <c r="AI108" s="25">
        <f t="shared" si="28"/>
        <v>34.188610309894273</v>
      </c>
      <c r="AJ108" s="25">
        <f t="shared" si="29"/>
        <v>1.1436059320185736</v>
      </c>
      <c r="AK108" s="25">
        <f t="shared" si="30"/>
        <v>0</v>
      </c>
      <c r="BA108" s="34">
        <f t="shared" si="31"/>
        <v>36404851.915283203</v>
      </c>
      <c r="BB108" s="34">
        <f t="shared" si="32"/>
        <v>8040341.4875793457</v>
      </c>
      <c r="BC108" s="34">
        <f t="shared" si="33"/>
        <v>1486687.7116241455</v>
      </c>
    </row>
    <row r="109" spans="2:55">
      <c r="B109" s="2" t="s">
        <v>66</v>
      </c>
      <c r="C109" s="2" t="s">
        <v>67</v>
      </c>
      <c r="D109" s="2" t="s">
        <v>81</v>
      </c>
      <c r="E109" s="2" t="s">
        <v>79</v>
      </c>
      <c r="F109" s="2" t="s">
        <v>68</v>
      </c>
      <c r="G109" s="2" t="s">
        <v>80</v>
      </c>
      <c r="H109" s="2" t="s">
        <v>117</v>
      </c>
      <c r="I109" s="2" t="s">
        <v>117</v>
      </c>
      <c r="J109" s="2" t="s">
        <v>117</v>
      </c>
      <c r="K109" s="2" t="s">
        <v>82</v>
      </c>
      <c r="L109" s="2" t="s">
        <v>99</v>
      </c>
      <c r="M109" s="2" t="s">
        <v>91</v>
      </c>
      <c r="N109" s="2" t="s">
        <v>115</v>
      </c>
      <c r="O109" s="2" t="s">
        <v>117</v>
      </c>
      <c r="P109" s="2" t="s">
        <v>111</v>
      </c>
      <c r="Q109" s="31">
        <v>0</v>
      </c>
      <c r="R109" s="2" t="s">
        <v>117</v>
      </c>
      <c r="S109" s="2" t="s">
        <v>101</v>
      </c>
      <c r="T109" s="20">
        <v>46082</v>
      </c>
      <c r="U109" s="32">
        <v>1</v>
      </c>
      <c r="V109" s="32">
        <v>1</v>
      </c>
      <c r="W109" s="22">
        <f t="shared" si="20"/>
        <v>1300</v>
      </c>
      <c r="X109" s="22">
        <v>9569</v>
      </c>
      <c r="Y109" s="23">
        <f t="shared" si="21"/>
        <v>12812.22170221138</v>
      </c>
      <c r="Z109" s="24">
        <f t="shared" si="22"/>
        <v>1338.9300556182861</v>
      </c>
      <c r="AA109" s="30">
        <v>1245.81005859375</v>
      </c>
      <c r="AB109" s="30">
        <v>24.600000381469727</v>
      </c>
      <c r="AC109" s="30">
        <v>68.519996643066406</v>
      </c>
      <c r="AD109" s="25">
        <f t="shared" si="23"/>
        <v>1029.9461966294509</v>
      </c>
      <c r="AE109" s="26">
        <f t="shared" si="24"/>
        <v>651.49233793601013</v>
      </c>
      <c r="AF109" s="26">
        <f t="shared" si="25"/>
        <v>52.707689725435699</v>
      </c>
      <c r="AG109" s="26">
        <f t="shared" si="26"/>
        <v>325.74616896800507</v>
      </c>
      <c r="AH109" s="25">
        <f t="shared" si="27"/>
        <v>9.8555551555472167</v>
      </c>
      <c r="AI109" s="25">
        <f t="shared" si="28"/>
        <v>6.2341301817096806</v>
      </c>
      <c r="AJ109" s="25">
        <f t="shared" si="29"/>
        <v>0.50435988298269419</v>
      </c>
      <c r="AK109" s="25">
        <f t="shared" si="30"/>
        <v>3.1170650908548403</v>
      </c>
      <c r="BA109" s="34">
        <f t="shared" si="31"/>
        <v>11921156.450683594</v>
      </c>
      <c r="BB109" s="34">
        <f t="shared" si="32"/>
        <v>235397.40365028381</v>
      </c>
      <c r="BC109" s="34">
        <f t="shared" si="33"/>
        <v>655667.84787750244</v>
      </c>
    </row>
    <row r="110" spans="2:55">
      <c r="B110" s="2" t="s">
        <v>66</v>
      </c>
      <c r="C110" s="2" t="s">
        <v>67</v>
      </c>
      <c r="D110" s="2" t="s">
        <v>81</v>
      </c>
      <c r="E110" s="2" t="s">
        <v>79</v>
      </c>
      <c r="F110" s="2" t="s">
        <v>68</v>
      </c>
      <c r="G110" s="2" t="s">
        <v>80</v>
      </c>
      <c r="H110" s="2" t="s">
        <v>117</v>
      </c>
      <c r="I110" s="2" t="s">
        <v>117</v>
      </c>
      <c r="J110" s="2" t="s">
        <v>117</v>
      </c>
      <c r="K110" s="2" t="s">
        <v>82</v>
      </c>
      <c r="L110" s="2" t="s">
        <v>99</v>
      </c>
      <c r="M110" s="2" t="s">
        <v>91</v>
      </c>
      <c r="N110" s="2" t="s">
        <v>115</v>
      </c>
      <c r="O110" s="2" t="s">
        <v>117</v>
      </c>
      <c r="P110" s="2" t="s">
        <v>111</v>
      </c>
      <c r="Q110" s="31">
        <v>0</v>
      </c>
      <c r="R110" s="2" t="s">
        <v>117</v>
      </c>
      <c r="S110" s="2" t="s">
        <v>102</v>
      </c>
      <c r="T110" s="20">
        <v>46082</v>
      </c>
      <c r="U110" s="32">
        <v>1</v>
      </c>
      <c r="V110" s="32">
        <v>1</v>
      </c>
      <c r="W110" s="22">
        <f t="shared" si="20"/>
        <v>1300</v>
      </c>
      <c r="X110" s="22">
        <v>7887</v>
      </c>
      <c r="Y110" s="23">
        <f t="shared" si="21"/>
        <v>13155.673352485657</v>
      </c>
      <c r="Z110" s="24">
        <f t="shared" si="22"/>
        <v>1668.0199508666992</v>
      </c>
      <c r="AA110" s="30">
        <v>1372.8299560546875</v>
      </c>
      <c r="AB110" s="30">
        <v>204.6199951171875</v>
      </c>
      <c r="AC110" s="30">
        <v>90.569999694824219</v>
      </c>
      <c r="AD110" s="25">
        <f t="shared" si="23"/>
        <v>1283.0922698974609</v>
      </c>
      <c r="AE110" s="26">
        <f t="shared" si="24"/>
        <v>1213.4230393629807</v>
      </c>
      <c r="AF110" s="26">
        <f t="shared" si="25"/>
        <v>69.669230534480164</v>
      </c>
      <c r="AG110" s="26">
        <f t="shared" si="26"/>
        <v>0</v>
      </c>
      <c r="AH110" s="25">
        <f t="shared" si="27"/>
        <v>10.119748732681275</v>
      </c>
      <c r="AI110" s="25">
        <f t="shared" si="28"/>
        <v>9.5702675114558282</v>
      </c>
      <c r="AJ110" s="25">
        <f t="shared" si="29"/>
        <v>0.54948122122544507</v>
      </c>
      <c r="AK110" s="25">
        <f t="shared" si="30"/>
        <v>0</v>
      </c>
      <c r="BA110" s="34">
        <f t="shared" si="31"/>
        <v>10827509.86340332</v>
      </c>
      <c r="BB110" s="34">
        <f t="shared" si="32"/>
        <v>1613837.9014892578</v>
      </c>
      <c r="BC110" s="34">
        <f t="shared" si="33"/>
        <v>714325.58759307861</v>
      </c>
    </row>
    <row r="111" spans="2:55">
      <c r="B111" s="2" t="s">
        <v>66</v>
      </c>
      <c r="C111" s="2" t="s">
        <v>67</v>
      </c>
      <c r="D111" s="2" t="s">
        <v>81</v>
      </c>
      <c r="E111" s="2" t="s">
        <v>79</v>
      </c>
      <c r="F111" s="2" t="s">
        <v>68</v>
      </c>
      <c r="G111" s="2" t="s">
        <v>80</v>
      </c>
      <c r="H111" s="2" t="s">
        <v>117</v>
      </c>
      <c r="I111" s="2" t="s">
        <v>117</v>
      </c>
      <c r="J111" s="2" t="s">
        <v>117</v>
      </c>
      <c r="K111" s="2" t="s">
        <v>82</v>
      </c>
      <c r="L111" s="2" t="s">
        <v>99</v>
      </c>
      <c r="M111" s="2" t="s">
        <v>91</v>
      </c>
      <c r="N111" s="2" t="s">
        <v>115</v>
      </c>
      <c r="O111" s="2" t="s">
        <v>117</v>
      </c>
      <c r="P111" s="2" t="s">
        <v>111</v>
      </c>
      <c r="Q111" s="31">
        <v>0</v>
      </c>
      <c r="R111" s="2" t="s">
        <v>117</v>
      </c>
      <c r="S111" s="2" t="s">
        <v>139</v>
      </c>
      <c r="T111" s="20">
        <v>46082</v>
      </c>
      <c r="U111" s="32">
        <v>1</v>
      </c>
      <c r="V111" s="32">
        <v>1</v>
      </c>
      <c r="W111" s="22">
        <f t="shared" si="20"/>
        <v>1300</v>
      </c>
      <c r="X111" s="22">
        <v>34199</v>
      </c>
      <c r="Y111" s="23">
        <f t="shared" si="21"/>
        <v>58909.829878341676</v>
      </c>
      <c r="Z111" s="24">
        <f t="shared" si="22"/>
        <v>1722.5600128173828</v>
      </c>
      <c r="AA111" s="30">
        <v>1459.27001953125</v>
      </c>
      <c r="AB111" s="30">
        <v>164.28999328613281</v>
      </c>
      <c r="AC111" s="30">
        <v>99</v>
      </c>
      <c r="AD111" s="25">
        <f t="shared" si="23"/>
        <v>1325.0461637056792</v>
      </c>
      <c r="AE111" s="26">
        <f t="shared" si="24"/>
        <v>1248.892317551833</v>
      </c>
      <c r="AF111" s="26">
        <f t="shared" si="25"/>
        <v>76.15384615384616</v>
      </c>
      <c r="AG111" s="26">
        <f t="shared" si="26"/>
        <v>0</v>
      </c>
      <c r="AH111" s="25">
        <f t="shared" si="27"/>
        <v>45.315253752570527</v>
      </c>
      <c r="AI111" s="25">
        <f t="shared" si="28"/>
        <v>42.710868367955136</v>
      </c>
      <c r="AJ111" s="25">
        <f t="shared" si="29"/>
        <v>2.604385384615385</v>
      </c>
      <c r="AK111" s="25">
        <f t="shared" si="30"/>
        <v>0</v>
      </c>
      <c r="BA111" s="34">
        <f t="shared" si="31"/>
        <v>49905575.397949219</v>
      </c>
      <c r="BB111" s="34">
        <f t="shared" si="32"/>
        <v>5618553.4803924561</v>
      </c>
      <c r="BC111" s="34">
        <f t="shared" si="33"/>
        <v>3385701</v>
      </c>
    </row>
    <row r="112" spans="2:55">
      <c r="B112" s="2" t="s">
        <v>66</v>
      </c>
      <c r="C112" s="2" t="s">
        <v>67</v>
      </c>
      <c r="D112" s="2" t="s">
        <v>81</v>
      </c>
      <c r="E112" s="2" t="s">
        <v>79</v>
      </c>
      <c r="F112" s="2" t="s">
        <v>68</v>
      </c>
      <c r="G112" s="2" t="s">
        <v>80</v>
      </c>
      <c r="H112" s="2" t="s">
        <v>117</v>
      </c>
      <c r="I112" s="2" t="s">
        <v>117</v>
      </c>
      <c r="J112" s="2" t="s">
        <v>117</v>
      </c>
      <c r="K112" s="2" t="s">
        <v>82</v>
      </c>
      <c r="L112" s="2" t="s">
        <v>99</v>
      </c>
      <c r="M112" s="2" t="s">
        <v>91</v>
      </c>
      <c r="N112" s="2" t="s">
        <v>115</v>
      </c>
      <c r="O112" s="2" t="s">
        <v>117</v>
      </c>
      <c r="P112" s="2" t="s">
        <v>111</v>
      </c>
      <c r="Q112" s="31">
        <v>0</v>
      </c>
      <c r="R112" s="2" t="s">
        <v>117</v>
      </c>
      <c r="S112" s="2" t="s">
        <v>106</v>
      </c>
      <c r="T112" s="20">
        <v>46082</v>
      </c>
      <c r="U112" s="32">
        <v>1</v>
      </c>
      <c r="V112" s="32">
        <v>1</v>
      </c>
      <c r="W112" s="22">
        <f t="shared" si="20"/>
        <v>1300</v>
      </c>
      <c r="X112" s="22">
        <v>31928</v>
      </c>
      <c r="Y112" s="23">
        <f t="shared" si="21"/>
        <v>49470.202267700195</v>
      </c>
      <c r="Z112" s="24">
        <f t="shared" si="22"/>
        <v>1549.4300384521484</v>
      </c>
      <c r="AA112" s="30">
        <v>1270.7900390625</v>
      </c>
      <c r="AB112" s="30">
        <v>185.97000122070313</v>
      </c>
      <c r="AC112" s="30">
        <v>92.669998168945313</v>
      </c>
      <c r="AD112" s="25">
        <f t="shared" si="23"/>
        <v>1191.8692603478064</v>
      </c>
      <c r="AE112" s="26">
        <f t="shared" si="24"/>
        <v>1120.5846463716946</v>
      </c>
      <c r="AF112" s="26">
        <f t="shared" si="25"/>
        <v>71.284613976111785</v>
      </c>
      <c r="AG112" s="26">
        <f t="shared" si="26"/>
        <v>0</v>
      </c>
      <c r="AH112" s="25">
        <f t="shared" si="27"/>
        <v>38.054001744384763</v>
      </c>
      <c r="AI112" s="25">
        <f t="shared" si="28"/>
        <v>35.778026589355463</v>
      </c>
      <c r="AJ112" s="25">
        <f t="shared" si="29"/>
        <v>2.2759751550292968</v>
      </c>
      <c r="AK112" s="25">
        <f t="shared" si="30"/>
        <v>0</v>
      </c>
      <c r="BA112" s="34">
        <f t="shared" si="31"/>
        <v>40573784.3671875</v>
      </c>
      <c r="BB112" s="34">
        <f t="shared" si="32"/>
        <v>5937650.1989746094</v>
      </c>
      <c r="BC112" s="34">
        <f t="shared" si="33"/>
        <v>2958767.7015380859</v>
      </c>
    </row>
    <row r="113" spans="2:55">
      <c r="B113" s="2" t="s">
        <v>66</v>
      </c>
      <c r="C113" s="2" t="s">
        <v>67</v>
      </c>
      <c r="D113" s="2" t="s">
        <v>81</v>
      </c>
      <c r="E113" s="2" t="s">
        <v>79</v>
      </c>
      <c r="F113" s="2" t="s">
        <v>68</v>
      </c>
      <c r="G113" s="2" t="s">
        <v>80</v>
      </c>
      <c r="H113" s="2" t="s">
        <v>117</v>
      </c>
      <c r="I113" s="2" t="s">
        <v>117</v>
      </c>
      <c r="J113" s="2" t="s">
        <v>117</v>
      </c>
      <c r="K113" s="2" t="s">
        <v>82</v>
      </c>
      <c r="L113" s="2" t="s">
        <v>99</v>
      </c>
      <c r="M113" s="2" t="s">
        <v>91</v>
      </c>
      <c r="N113" s="2" t="s">
        <v>115</v>
      </c>
      <c r="O113" s="2" t="s">
        <v>117</v>
      </c>
      <c r="P113" s="2" t="s">
        <v>111</v>
      </c>
      <c r="Q113" s="31">
        <v>0</v>
      </c>
      <c r="R113" s="2" t="s">
        <v>117</v>
      </c>
      <c r="S113" s="2" t="s">
        <v>105</v>
      </c>
      <c r="T113" s="20">
        <v>46082</v>
      </c>
      <c r="U113" s="32">
        <v>1</v>
      </c>
      <c r="V113" s="32">
        <v>1</v>
      </c>
      <c r="W113" s="22">
        <f t="shared" si="20"/>
        <v>1300</v>
      </c>
      <c r="X113" s="22">
        <v>30876</v>
      </c>
      <c r="Y113" s="23">
        <f t="shared" si="21"/>
        <v>41667.161308027265</v>
      </c>
      <c r="Z113" s="24">
        <f t="shared" si="22"/>
        <v>1349.4999775886536</v>
      </c>
      <c r="AA113" s="30">
        <v>1226.97998046875</v>
      </c>
      <c r="AB113" s="30">
        <v>116.37999725341797</v>
      </c>
      <c r="AC113" s="30">
        <v>6.1399998664855957</v>
      </c>
      <c r="AD113" s="25">
        <f t="shared" si="23"/>
        <v>1038.0769058374258</v>
      </c>
      <c r="AE113" s="26">
        <f t="shared" si="24"/>
        <v>1033.3538290170522</v>
      </c>
      <c r="AF113" s="26">
        <f t="shared" si="25"/>
        <v>4.7230768203735352</v>
      </c>
      <c r="AG113" s="26">
        <f t="shared" si="26"/>
        <v>0</v>
      </c>
      <c r="AH113" s="25">
        <f t="shared" si="27"/>
        <v>32.051662544636358</v>
      </c>
      <c r="AI113" s="25">
        <f t="shared" si="28"/>
        <v>31.905832824730503</v>
      </c>
      <c r="AJ113" s="25">
        <f t="shared" si="29"/>
        <v>0.14582971990585328</v>
      </c>
      <c r="AK113" s="25">
        <f t="shared" si="30"/>
        <v>0</v>
      </c>
      <c r="BA113" s="34">
        <f t="shared" si="31"/>
        <v>37884233.876953125</v>
      </c>
      <c r="BB113" s="34">
        <f t="shared" si="32"/>
        <v>3593348.7951965332</v>
      </c>
      <c r="BC113" s="34">
        <f t="shared" si="33"/>
        <v>189578.63587760925</v>
      </c>
    </row>
    <row r="114" spans="2:55">
      <c r="B114" s="2" t="s">
        <v>66</v>
      </c>
      <c r="C114" s="2" t="s">
        <v>67</v>
      </c>
      <c r="D114" s="2" t="s">
        <v>81</v>
      </c>
      <c r="E114" s="2" t="s">
        <v>79</v>
      </c>
      <c r="F114" s="2" t="s">
        <v>68</v>
      </c>
      <c r="G114" s="2" t="s">
        <v>80</v>
      </c>
      <c r="H114" s="2" t="s">
        <v>117</v>
      </c>
      <c r="I114" s="2" t="s">
        <v>117</v>
      </c>
      <c r="J114" s="2" t="s">
        <v>117</v>
      </c>
      <c r="K114" s="2" t="s">
        <v>82</v>
      </c>
      <c r="L114" s="2" t="s">
        <v>99</v>
      </c>
      <c r="M114" s="2" t="s">
        <v>91</v>
      </c>
      <c r="N114" s="2" t="s">
        <v>115</v>
      </c>
      <c r="O114" s="2" t="s">
        <v>117</v>
      </c>
      <c r="P114" s="2" t="s">
        <v>111</v>
      </c>
      <c r="Q114" s="31">
        <v>0</v>
      </c>
      <c r="R114" s="2" t="s">
        <v>117</v>
      </c>
      <c r="S114" s="2" t="s">
        <v>107</v>
      </c>
      <c r="T114" s="20">
        <v>46082</v>
      </c>
      <c r="U114" s="32">
        <v>1</v>
      </c>
      <c r="V114" s="32">
        <v>1</v>
      </c>
      <c r="W114" s="22">
        <f t="shared" si="20"/>
        <v>1300</v>
      </c>
      <c r="X114" s="22">
        <v>7374</v>
      </c>
      <c r="Y114" s="23">
        <f t="shared" si="21"/>
        <v>10249.785878562927</v>
      </c>
      <c r="Z114" s="24">
        <f t="shared" si="22"/>
        <v>1389.9899482727051</v>
      </c>
      <c r="AA114" s="30">
        <v>1113.8299560546875</v>
      </c>
      <c r="AB114" s="30">
        <v>215.03999328613281</v>
      </c>
      <c r="AC114" s="30">
        <v>61.119998931884766</v>
      </c>
      <c r="AD114" s="25">
        <f t="shared" si="23"/>
        <v>1069.2230371328499</v>
      </c>
      <c r="AE114" s="26">
        <f t="shared" si="24"/>
        <v>1022.2076533390924</v>
      </c>
      <c r="AF114" s="26">
        <f t="shared" si="25"/>
        <v>47.015383793757515</v>
      </c>
      <c r="AG114" s="26">
        <f t="shared" si="26"/>
        <v>0</v>
      </c>
      <c r="AH114" s="25">
        <f t="shared" si="27"/>
        <v>7.8844506758176349</v>
      </c>
      <c r="AI114" s="25">
        <f t="shared" si="28"/>
        <v>7.5377592357224676</v>
      </c>
      <c r="AJ114" s="25">
        <f t="shared" si="29"/>
        <v>0.34669144009516789</v>
      </c>
      <c r="AK114" s="25">
        <f t="shared" si="30"/>
        <v>0</v>
      </c>
      <c r="BA114" s="34">
        <f t="shared" si="31"/>
        <v>8213382.0959472656</v>
      </c>
      <c r="BB114" s="34">
        <f t="shared" si="32"/>
        <v>1585704.9104919434</v>
      </c>
      <c r="BC114" s="34">
        <f t="shared" si="33"/>
        <v>450698.87212371826</v>
      </c>
    </row>
    <row r="115" spans="2:55">
      <c r="B115" s="2" t="s">
        <v>66</v>
      </c>
      <c r="C115" s="2" t="s">
        <v>67</v>
      </c>
      <c r="D115" s="2" t="s">
        <v>81</v>
      </c>
      <c r="E115" s="2" t="s">
        <v>79</v>
      </c>
      <c r="F115" s="2" t="s">
        <v>68</v>
      </c>
      <c r="G115" s="2" t="s">
        <v>80</v>
      </c>
      <c r="H115" s="2" t="s">
        <v>117</v>
      </c>
      <c r="I115" s="2" t="s">
        <v>117</v>
      </c>
      <c r="J115" s="2" t="s">
        <v>117</v>
      </c>
      <c r="K115" s="2" t="s">
        <v>82</v>
      </c>
      <c r="L115" s="2" t="s">
        <v>99</v>
      </c>
      <c r="M115" s="2" t="s">
        <v>91</v>
      </c>
      <c r="N115" s="2" t="s">
        <v>115</v>
      </c>
      <c r="O115" s="2" t="s">
        <v>117</v>
      </c>
      <c r="P115" s="2" t="s">
        <v>111</v>
      </c>
      <c r="Q115" s="31">
        <v>0</v>
      </c>
      <c r="R115" s="2" t="s">
        <v>117</v>
      </c>
      <c r="S115" s="2" t="s">
        <v>140</v>
      </c>
      <c r="T115" s="20">
        <v>46082</v>
      </c>
      <c r="U115" s="32">
        <v>1</v>
      </c>
      <c r="V115" s="32">
        <v>1</v>
      </c>
      <c r="W115" s="22">
        <f t="shared" si="20"/>
        <v>1300</v>
      </c>
      <c r="X115" s="22">
        <v>6948</v>
      </c>
      <c r="Y115" s="23">
        <f t="shared" si="21"/>
        <v>11929.993793838501</v>
      </c>
      <c r="Z115" s="24">
        <f t="shared" si="22"/>
        <v>1717.039981842041</v>
      </c>
      <c r="AA115" s="30">
        <v>1396.22998046875</v>
      </c>
      <c r="AB115" s="30">
        <v>277.69000244140625</v>
      </c>
      <c r="AC115" s="30">
        <v>43.119998931884766</v>
      </c>
      <c r="AD115" s="25">
        <f t="shared" si="23"/>
        <v>1320.7999860323393</v>
      </c>
      <c r="AE115" s="26">
        <f t="shared" si="24"/>
        <v>1287.6307560847356</v>
      </c>
      <c r="AF115" s="26">
        <f t="shared" si="25"/>
        <v>33.169229947603661</v>
      </c>
      <c r="AG115" s="26">
        <f t="shared" si="26"/>
        <v>0</v>
      </c>
      <c r="AH115" s="25">
        <f t="shared" si="27"/>
        <v>9.1769183029526946</v>
      </c>
      <c r="AI115" s="25">
        <f t="shared" si="28"/>
        <v>8.9464584932767437</v>
      </c>
      <c r="AJ115" s="25">
        <f t="shared" si="29"/>
        <v>0.23045980967595023</v>
      </c>
      <c r="AK115" s="25">
        <f t="shared" si="30"/>
        <v>0</v>
      </c>
      <c r="BA115" s="34">
        <f t="shared" si="31"/>
        <v>9701005.904296875</v>
      </c>
      <c r="BB115" s="34">
        <f t="shared" si="32"/>
        <v>1929390.1369628906</v>
      </c>
      <c r="BC115" s="34">
        <f t="shared" si="33"/>
        <v>299597.75257873535</v>
      </c>
    </row>
    <row r="116" spans="2:55">
      <c r="B116" s="2" t="s">
        <v>66</v>
      </c>
      <c r="C116" s="2" t="s">
        <v>67</v>
      </c>
      <c r="D116" s="2" t="s">
        <v>81</v>
      </c>
      <c r="E116" s="2" t="s">
        <v>79</v>
      </c>
      <c r="F116" s="2" t="s">
        <v>68</v>
      </c>
      <c r="G116" s="2" t="s">
        <v>80</v>
      </c>
      <c r="H116" s="2" t="s">
        <v>117</v>
      </c>
      <c r="I116" s="2" t="s">
        <v>117</v>
      </c>
      <c r="J116" s="2" t="s">
        <v>117</v>
      </c>
      <c r="K116" s="2" t="s">
        <v>82</v>
      </c>
      <c r="L116" s="2" t="s">
        <v>99</v>
      </c>
      <c r="M116" s="2" t="s">
        <v>91</v>
      </c>
      <c r="N116" s="2" t="s">
        <v>115</v>
      </c>
      <c r="O116" s="2" t="s">
        <v>117</v>
      </c>
      <c r="P116" s="2" t="s">
        <v>111</v>
      </c>
      <c r="Q116" s="31">
        <v>0</v>
      </c>
      <c r="R116" s="2" t="s">
        <v>117</v>
      </c>
      <c r="S116" s="2" t="s">
        <v>109</v>
      </c>
      <c r="T116" s="20">
        <v>46082</v>
      </c>
      <c r="U116" s="32">
        <v>1</v>
      </c>
      <c r="V116" s="32">
        <v>1</v>
      </c>
      <c r="W116" s="22">
        <f t="shared" si="20"/>
        <v>1300</v>
      </c>
      <c r="X116" s="22">
        <v>29464</v>
      </c>
      <c r="Y116" s="23">
        <f t="shared" si="21"/>
        <v>22634.243937358857</v>
      </c>
      <c r="Z116" s="24">
        <f t="shared" si="22"/>
        <v>768.19997072219849</v>
      </c>
      <c r="AA116" s="30">
        <v>730.469970703125</v>
      </c>
      <c r="AB116" s="30">
        <v>34.75</v>
      </c>
      <c r="AC116" s="30">
        <v>2.9800000190734863</v>
      </c>
      <c r="AD116" s="25">
        <f t="shared" si="23"/>
        <v>590.92305440169116</v>
      </c>
      <c r="AE116" s="26">
        <f t="shared" si="24"/>
        <v>588.63074669471155</v>
      </c>
      <c r="AF116" s="26">
        <f t="shared" si="25"/>
        <v>2.2923077069796052</v>
      </c>
      <c r="AG116" s="26">
        <f t="shared" si="26"/>
        <v>0</v>
      </c>
      <c r="AH116" s="25">
        <f t="shared" si="27"/>
        <v>17.410956874891429</v>
      </c>
      <c r="AI116" s="25">
        <f t="shared" si="28"/>
        <v>17.343416320612981</v>
      </c>
      <c r="AJ116" s="25">
        <f t="shared" si="29"/>
        <v>6.7540554278447087E-2</v>
      </c>
      <c r="AK116" s="25">
        <f t="shared" si="30"/>
        <v>0</v>
      </c>
      <c r="BA116" s="34">
        <f t="shared" si="31"/>
        <v>21522567.216796875</v>
      </c>
      <c r="BB116" s="34">
        <f t="shared" si="32"/>
        <v>1023874</v>
      </c>
      <c r="BC116" s="34">
        <f t="shared" si="33"/>
        <v>87802.720561981201</v>
      </c>
    </row>
    <row r="117" spans="2:55">
      <c r="B117" s="2" t="s">
        <v>66</v>
      </c>
      <c r="C117" s="2" t="s">
        <v>67</v>
      </c>
      <c r="D117" s="2" t="s">
        <v>81</v>
      </c>
      <c r="E117" s="2" t="s">
        <v>79</v>
      </c>
      <c r="F117" s="2" t="s">
        <v>68</v>
      </c>
      <c r="G117" s="2" t="s">
        <v>80</v>
      </c>
      <c r="H117" s="2" t="s">
        <v>117</v>
      </c>
      <c r="I117" s="2" t="s">
        <v>117</v>
      </c>
      <c r="J117" s="2" t="s">
        <v>117</v>
      </c>
      <c r="K117" s="2" t="s">
        <v>82</v>
      </c>
      <c r="L117" s="2" t="s">
        <v>99</v>
      </c>
      <c r="M117" s="2" t="s">
        <v>91</v>
      </c>
      <c r="N117" s="2" t="s">
        <v>115</v>
      </c>
      <c r="O117" s="2" t="s">
        <v>117</v>
      </c>
      <c r="P117" s="2" t="s">
        <v>111</v>
      </c>
      <c r="Q117" s="31">
        <v>0</v>
      </c>
      <c r="R117" s="2" t="s">
        <v>117</v>
      </c>
      <c r="S117" s="2" t="s">
        <v>108</v>
      </c>
      <c r="T117" s="20">
        <v>46082</v>
      </c>
      <c r="U117" s="32">
        <v>1</v>
      </c>
      <c r="V117" s="32">
        <v>1</v>
      </c>
      <c r="W117" s="22">
        <f t="shared" si="20"/>
        <v>1300</v>
      </c>
      <c r="X117" s="22">
        <v>26795</v>
      </c>
      <c r="Y117" s="23">
        <f t="shared" si="21"/>
        <v>31749.931555366515</v>
      </c>
      <c r="Z117" s="24">
        <f t="shared" si="22"/>
        <v>1184.9200057983398</v>
      </c>
      <c r="AA117" s="30">
        <v>876.760009765625</v>
      </c>
      <c r="AB117" s="30">
        <v>224.72999572753906</v>
      </c>
      <c r="AC117" s="30">
        <v>83.430000305175781</v>
      </c>
      <c r="AD117" s="25">
        <f t="shared" si="23"/>
        <v>911.47692753718445</v>
      </c>
      <c r="AE117" s="26">
        <f t="shared" si="24"/>
        <v>847.30000422551075</v>
      </c>
      <c r="AF117" s="26">
        <f t="shared" si="25"/>
        <v>64.17692331167369</v>
      </c>
      <c r="AG117" s="26">
        <f t="shared" si="26"/>
        <v>0</v>
      </c>
      <c r="AH117" s="25">
        <f t="shared" si="27"/>
        <v>24.423024273358859</v>
      </c>
      <c r="AI117" s="25">
        <f t="shared" si="28"/>
        <v>22.703403613222562</v>
      </c>
      <c r="AJ117" s="25">
        <f t="shared" si="29"/>
        <v>1.7196206601362964</v>
      </c>
      <c r="AK117" s="25">
        <f t="shared" si="30"/>
        <v>0</v>
      </c>
      <c r="BA117" s="34">
        <f t="shared" si="31"/>
        <v>23492784.461669922</v>
      </c>
      <c r="BB117" s="34">
        <f t="shared" si="32"/>
        <v>6021640.2355194092</v>
      </c>
      <c r="BC117" s="34">
        <f t="shared" si="33"/>
        <v>2235506.8581771851</v>
      </c>
    </row>
    <row r="118" spans="2:55">
      <c r="B118" s="2" t="s">
        <v>66</v>
      </c>
      <c r="C118" s="2" t="s">
        <v>67</v>
      </c>
      <c r="D118" s="2" t="s">
        <v>81</v>
      </c>
      <c r="E118" s="2" t="s">
        <v>79</v>
      </c>
      <c r="F118" s="2" t="s">
        <v>68</v>
      </c>
      <c r="G118" s="2" t="s">
        <v>80</v>
      </c>
      <c r="H118" s="2" t="s">
        <v>117</v>
      </c>
      <c r="I118" s="2" t="s">
        <v>117</v>
      </c>
      <c r="J118" s="2" t="s">
        <v>117</v>
      </c>
      <c r="K118" s="2" t="s">
        <v>82</v>
      </c>
      <c r="L118" s="2" t="s">
        <v>99</v>
      </c>
      <c r="M118" s="2" t="s">
        <v>91</v>
      </c>
      <c r="N118" s="2" t="s">
        <v>115</v>
      </c>
      <c r="O118" s="2" t="s">
        <v>117</v>
      </c>
      <c r="P118" s="2" t="s">
        <v>111</v>
      </c>
      <c r="Q118" s="31">
        <v>0</v>
      </c>
      <c r="R118" s="2" t="s">
        <v>117</v>
      </c>
      <c r="S118" s="2" t="s">
        <v>103</v>
      </c>
      <c r="T118" s="20">
        <v>46082</v>
      </c>
      <c r="U118" s="32">
        <v>1</v>
      </c>
      <c r="V118" s="32">
        <v>1</v>
      </c>
      <c r="W118" s="22">
        <f t="shared" si="20"/>
        <v>1300</v>
      </c>
      <c r="X118" s="22">
        <v>12968</v>
      </c>
      <c r="Y118" s="23">
        <f t="shared" si="21"/>
        <v>21074.037067993166</v>
      </c>
      <c r="Z118" s="24">
        <f t="shared" si="22"/>
        <v>1625.0799713134766</v>
      </c>
      <c r="AA118" s="30">
        <v>1411.719970703125</v>
      </c>
      <c r="AB118" s="30">
        <v>142.69999694824219</v>
      </c>
      <c r="AC118" s="30">
        <v>70.660003662109375</v>
      </c>
      <c r="AD118" s="25">
        <f t="shared" si="23"/>
        <v>1250.0615163949819</v>
      </c>
      <c r="AE118" s="26">
        <f t="shared" si="24"/>
        <v>1195.7076674241287</v>
      </c>
      <c r="AF118" s="26">
        <f t="shared" si="25"/>
        <v>54.353848970853363</v>
      </c>
      <c r="AG118" s="26">
        <f t="shared" si="26"/>
        <v>0</v>
      </c>
      <c r="AH118" s="25">
        <f t="shared" si="27"/>
        <v>16.210797744610126</v>
      </c>
      <c r="AI118" s="25">
        <f t="shared" si="28"/>
        <v>15.505937031156101</v>
      </c>
      <c r="AJ118" s="25">
        <f t="shared" si="29"/>
        <v>0.70486071345402634</v>
      </c>
      <c r="AK118" s="25">
        <f t="shared" si="30"/>
        <v>0</v>
      </c>
      <c r="BA118" s="34">
        <f t="shared" si="31"/>
        <v>18307184.580078125</v>
      </c>
      <c r="BB118" s="34">
        <f t="shared" si="32"/>
        <v>1850533.5604248047</v>
      </c>
      <c r="BC118" s="34">
        <f t="shared" si="33"/>
        <v>916318.92749023438</v>
      </c>
    </row>
    <row r="119" spans="2:55">
      <c r="B119" s="2" t="s">
        <v>66</v>
      </c>
      <c r="C119" s="2" t="s">
        <v>67</v>
      </c>
      <c r="D119" s="2" t="s">
        <v>81</v>
      </c>
      <c r="E119" s="2" t="s">
        <v>79</v>
      </c>
      <c r="F119" s="2" t="s">
        <v>68</v>
      </c>
      <c r="G119" s="2" t="s">
        <v>80</v>
      </c>
      <c r="H119" s="2" t="s">
        <v>117</v>
      </c>
      <c r="I119" s="2" t="s">
        <v>117</v>
      </c>
      <c r="J119" s="2" t="s">
        <v>117</v>
      </c>
      <c r="K119" s="2" t="s">
        <v>82</v>
      </c>
      <c r="L119" s="2" t="s">
        <v>99</v>
      </c>
      <c r="M119" s="2" t="s">
        <v>91</v>
      </c>
      <c r="N119" s="2" t="s">
        <v>115</v>
      </c>
      <c r="O119" s="2" t="s">
        <v>117</v>
      </c>
      <c r="P119" s="2" t="s">
        <v>111</v>
      </c>
      <c r="Q119" s="31">
        <v>0</v>
      </c>
      <c r="R119" s="2" t="s">
        <v>117</v>
      </c>
      <c r="S119" s="2" t="s">
        <v>104</v>
      </c>
      <c r="T119" s="20">
        <v>46082</v>
      </c>
      <c r="U119" s="32">
        <v>1</v>
      </c>
      <c r="V119" s="32">
        <v>1</v>
      </c>
      <c r="W119" s="22">
        <f t="shared" si="20"/>
        <v>1300</v>
      </c>
      <c r="X119" s="22">
        <v>36828</v>
      </c>
      <c r="Y119" s="23">
        <f t="shared" si="21"/>
        <v>43289.103847961429</v>
      </c>
      <c r="Z119" s="24">
        <f t="shared" si="22"/>
        <v>1175.4399871826172</v>
      </c>
      <c r="AA119" s="30">
        <v>1040.8599853515625</v>
      </c>
      <c r="AB119" s="30">
        <v>63.709999084472656</v>
      </c>
      <c r="AC119" s="30">
        <v>70.870002746582031</v>
      </c>
      <c r="AD119" s="25">
        <f t="shared" si="23"/>
        <v>904.18460552509009</v>
      </c>
      <c r="AE119" s="26">
        <f t="shared" si="24"/>
        <v>849.66921879695008</v>
      </c>
      <c r="AF119" s="26">
        <f t="shared" si="25"/>
        <v>54.51538672814003</v>
      </c>
      <c r="AG119" s="26">
        <f t="shared" si="26"/>
        <v>0</v>
      </c>
      <c r="AH119" s="25">
        <f t="shared" si="27"/>
        <v>33.299310652278017</v>
      </c>
      <c r="AI119" s="25">
        <f t="shared" si="28"/>
        <v>31.291617989854078</v>
      </c>
      <c r="AJ119" s="25">
        <f t="shared" si="29"/>
        <v>2.0076926624239411</v>
      </c>
      <c r="AK119" s="25">
        <f t="shared" si="30"/>
        <v>0</v>
      </c>
      <c r="BA119" s="34">
        <f t="shared" si="31"/>
        <v>38332791.540527344</v>
      </c>
      <c r="BB119" s="34">
        <f t="shared" si="32"/>
        <v>2346311.846282959</v>
      </c>
      <c r="BC119" s="34">
        <f t="shared" si="33"/>
        <v>2610000.461151123</v>
      </c>
    </row>
    <row r="120" spans="2:55">
      <c r="B120" s="2" t="s">
        <v>66</v>
      </c>
      <c r="C120" s="2" t="s">
        <v>67</v>
      </c>
      <c r="D120" s="2" t="s">
        <v>81</v>
      </c>
      <c r="E120" s="2" t="s">
        <v>79</v>
      </c>
      <c r="F120" s="2" t="s">
        <v>68</v>
      </c>
      <c r="G120" s="2" t="s">
        <v>80</v>
      </c>
      <c r="H120" s="2" t="s">
        <v>117</v>
      </c>
      <c r="I120" s="2" t="s">
        <v>117</v>
      </c>
      <c r="J120" s="2" t="s">
        <v>117</v>
      </c>
      <c r="K120" s="2" t="s">
        <v>69</v>
      </c>
      <c r="L120" s="2" t="s">
        <v>97</v>
      </c>
      <c r="M120" s="2" t="s">
        <v>88</v>
      </c>
      <c r="N120" s="2" t="s">
        <v>118</v>
      </c>
      <c r="O120" s="2" t="s">
        <v>117</v>
      </c>
      <c r="P120" s="2" t="s">
        <v>111</v>
      </c>
      <c r="Q120" s="31" t="s">
        <v>131</v>
      </c>
      <c r="R120" s="2" t="s">
        <v>117</v>
      </c>
      <c r="S120" s="2" t="s">
        <v>120</v>
      </c>
      <c r="T120" s="20">
        <v>46113</v>
      </c>
      <c r="U120" s="32">
        <v>2</v>
      </c>
      <c r="V120" s="32">
        <v>1</v>
      </c>
      <c r="W120" s="22">
        <f t="shared" si="20"/>
        <v>1</v>
      </c>
      <c r="X120" s="22">
        <v>17189</v>
      </c>
      <c r="Y120" s="23">
        <f t="shared" si="21"/>
        <v>14854.045942308427</v>
      </c>
      <c r="Z120" s="24">
        <f t="shared" si="22"/>
        <v>864.15998268127441</v>
      </c>
      <c r="AA120" s="30">
        <v>711.0999755859375</v>
      </c>
      <c r="AB120" s="30">
        <v>141.21000671386719</v>
      </c>
      <c r="AC120" s="30">
        <v>11.850000381469727</v>
      </c>
      <c r="AD120" s="25">
        <f t="shared" si="23"/>
        <v>0</v>
      </c>
      <c r="AE120" s="26">
        <f t="shared" si="24"/>
        <v>0</v>
      </c>
      <c r="AF120" s="26">
        <f t="shared" si="25"/>
        <v>0</v>
      </c>
      <c r="AG120" s="26">
        <f t="shared" si="26"/>
        <v>0</v>
      </c>
      <c r="AH120" s="25">
        <f t="shared" si="27"/>
        <v>0</v>
      </c>
      <c r="AI120" s="25">
        <f t="shared" si="28"/>
        <v>0</v>
      </c>
      <c r="AJ120" s="25">
        <f t="shared" si="29"/>
        <v>0</v>
      </c>
      <c r="AK120" s="25">
        <f t="shared" si="30"/>
        <v>0</v>
      </c>
      <c r="BA120" s="34">
        <f t="shared" si="31"/>
        <v>12223097.48034668</v>
      </c>
      <c r="BB120" s="34">
        <f t="shared" si="32"/>
        <v>2427258.8054046631</v>
      </c>
      <c r="BC120" s="34">
        <f t="shared" si="33"/>
        <v>203689.65655708313</v>
      </c>
    </row>
    <row r="121" spans="2:55">
      <c r="B121" s="2" t="s">
        <v>66</v>
      </c>
      <c r="C121" s="2" t="s">
        <v>67</v>
      </c>
      <c r="D121" s="2" t="s">
        <v>81</v>
      </c>
      <c r="E121" s="2" t="s">
        <v>79</v>
      </c>
      <c r="F121" s="2" t="s">
        <v>68</v>
      </c>
      <c r="G121" s="2" t="s">
        <v>80</v>
      </c>
      <c r="H121" s="2" t="s">
        <v>117</v>
      </c>
      <c r="I121" s="2" t="s">
        <v>117</v>
      </c>
      <c r="J121" s="2" t="s">
        <v>117</v>
      </c>
      <c r="K121" s="2" t="s">
        <v>69</v>
      </c>
      <c r="L121" s="2" t="s">
        <v>97</v>
      </c>
      <c r="M121" s="2" t="s">
        <v>88</v>
      </c>
      <c r="N121" s="2" t="s">
        <v>118</v>
      </c>
      <c r="O121" s="2" t="s">
        <v>117</v>
      </c>
      <c r="P121" s="2" t="s">
        <v>111</v>
      </c>
      <c r="Q121" s="31" t="s">
        <v>132</v>
      </c>
      <c r="R121" s="2" t="s">
        <v>117</v>
      </c>
      <c r="S121" s="2" t="s">
        <v>120</v>
      </c>
      <c r="T121" s="20">
        <v>46113</v>
      </c>
      <c r="U121" s="32">
        <v>2</v>
      </c>
      <c r="V121" s="32">
        <v>1</v>
      </c>
      <c r="W121" s="22">
        <f t="shared" si="20"/>
        <v>1</v>
      </c>
      <c r="X121" s="22">
        <v>40491</v>
      </c>
      <c r="Y121" s="23">
        <f t="shared" si="21"/>
        <v>67754.401343330377</v>
      </c>
      <c r="Z121" s="24">
        <f t="shared" si="22"/>
        <v>1673.3200302124023</v>
      </c>
      <c r="AA121" s="30">
        <v>1323.27001953125</v>
      </c>
      <c r="AB121" s="30">
        <v>280.510009765625</v>
      </c>
      <c r="AC121" s="30">
        <v>69.540000915527344</v>
      </c>
      <c r="AD121" s="25">
        <f t="shared" si="23"/>
        <v>0</v>
      </c>
      <c r="AE121" s="26">
        <f t="shared" si="24"/>
        <v>0</v>
      </c>
      <c r="AF121" s="26">
        <f t="shared" si="25"/>
        <v>0</v>
      </c>
      <c r="AG121" s="26">
        <f t="shared" si="26"/>
        <v>0</v>
      </c>
      <c r="AH121" s="25">
        <f t="shared" si="27"/>
        <v>0</v>
      </c>
      <c r="AI121" s="25">
        <f t="shared" si="28"/>
        <v>0</v>
      </c>
      <c r="AJ121" s="25">
        <f t="shared" si="29"/>
        <v>0</v>
      </c>
      <c r="AK121" s="25">
        <f t="shared" si="30"/>
        <v>0</v>
      </c>
      <c r="BA121" s="34">
        <f t="shared" si="31"/>
        <v>53580526.360839844</v>
      </c>
      <c r="BB121" s="34">
        <f t="shared" si="32"/>
        <v>11358130.805419922</v>
      </c>
      <c r="BC121" s="34">
        <f t="shared" si="33"/>
        <v>2815744.1770706177</v>
      </c>
    </row>
    <row r="122" spans="2:55">
      <c r="B122" s="2" t="s">
        <v>66</v>
      </c>
      <c r="C122" s="2" t="s">
        <v>67</v>
      </c>
      <c r="D122" s="2" t="s">
        <v>81</v>
      </c>
      <c r="E122" s="2" t="s">
        <v>79</v>
      </c>
      <c r="F122" s="2" t="s">
        <v>68</v>
      </c>
      <c r="G122" s="2" t="s">
        <v>80</v>
      </c>
      <c r="H122" s="2" t="s">
        <v>117</v>
      </c>
      <c r="I122" s="2" t="s">
        <v>117</v>
      </c>
      <c r="J122" s="2" t="s">
        <v>117</v>
      </c>
      <c r="K122" s="2" t="s">
        <v>69</v>
      </c>
      <c r="L122" s="2" t="s">
        <v>97</v>
      </c>
      <c r="M122" s="2" t="s">
        <v>88</v>
      </c>
      <c r="N122" s="2" t="s">
        <v>118</v>
      </c>
      <c r="O122" s="2" t="s">
        <v>117</v>
      </c>
      <c r="P122" s="2" t="s">
        <v>111</v>
      </c>
      <c r="Q122" s="31" t="s">
        <v>133</v>
      </c>
      <c r="R122" s="2" t="s">
        <v>117</v>
      </c>
      <c r="S122" s="2" t="s">
        <v>120</v>
      </c>
      <c r="T122" s="20">
        <v>46113</v>
      </c>
      <c r="U122" s="32">
        <v>2</v>
      </c>
      <c r="V122" s="32">
        <v>1</v>
      </c>
      <c r="W122" s="22">
        <f t="shared" si="20"/>
        <v>1</v>
      </c>
      <c r="X122" s="22">
        <v>20958</v>
      </c>
      <c r="Y122" s="23">
        <f t="shared" si="21"/>
        <v>19940.279371295928</v>
      </c>
      <c r="Z122" s="24">
        <f t="shared" si="22"/>
        <v>951.43999290466309</v>
      </c>
      <c r="AA122" s="30">
        <v>844.6199951171875</v>
      </c>
      <c r="AB122" s="30">
        <v>87.239997863769531</v>
      </c>
      <c r="AC122" s="30">
        <v>19.579999923706055</v>
      </c>
      <c r="AD122" s="25">
        <f t="shared" si="23"/>
        <v>0</v>
      </c>
      <c r="AE122" s="26">
        <f t="shared" si="24"/>
        <v>0</v>
      </c>
      <c r="AF122" s="26">
        <f t="shared" si="25"/>
        <v>0</v>
      </c>
      <c r="AG122" s="26">
        <f t="shared" si="26"/>
        <v>0</v>
      </c>
      <c r="AH122" s="25">
        <f t="shared" si="27"/>
        <v>0</v>
      </c>
      <c r="AI122" s="25">
        <f t="shared" si="28"/>
        <v>0</v>
      </c>
      <c r="AJ122" s="25">
        <f t="shared" si="29"/>
        <v>0</v>
      </c>
      <c r="AK122" s="25">
        <f t="shared" si="30"/>
        <v>0</v>
      </c>
      <c r="BA122" s="34">
        <f t="shared" si="31"/>
        <v>17701545.857666016</v>
      </c>
      <c r="BB122" s="34">
        <f t="shared" si="32"/>
        <v>1828375.8752288818</v>
      </c>
      <c r="BC122" s="34">
        <f t="shared" si="33"/>
        <v>410357.63840103149</v>
      </c>
    </row>
    <row r="123" spans="2:55">
      <c r="B123" s="2" t="s">
        <v>66</v>
      </c>
      <c r="C123" s="2" t="s">
        <v>67</v>
      </c>
      <c r="D123" s="2" t="s">
        <v>81</v>
      </c>
      <c r="E123" s="2" t="s">
        <v>79</v>
      </c>
      <c r="F123" s="2" t="s">
        <v>68</v>
      </c>
      <c r="G123" s="2" t="s">
        <v>80</v>
      </c>
      <c r="H123" s="2" t="s">
        <v>134</v>
      </c>
      <c r="I123" s="2" t="s">
        <v>117</v>
      </c>
      <c r="J123" s="2" t="s">
        <v>117</v>
      </c>
      <c r="K123" s="2" t="s">
        <v>69</v>
      </c>
      <c r="L123" s="2" t="s">
        <v>97</v>
      </c>
      <c r="M123" s="2" t="s">
        <v>88</v>
      </c>
      <c r="N123" s="2" t="s">
        <v>118</v>
      </c>
      <c r="O123" s="2" t="s">
        <v>117</v>
      </c>
      <c r="P123" s="2" t="s">
        <v>111</v>
      </c>
      <c r="Q123" s="31">
        <v>0</v>
      </c>
      <c r="R123" s="2" t="s">
        <v>117</v>
      </c>
      <c r="S123" s="2" t="s">
        <v>120</v>
      </c>
      <c r="T123" s="20">
        <v>46113</v>
      </c>
      <c r="U123" s="32">
        <v>2</v>
      </c>
      <c r="V123" s="32">
        <v>1</v>
      </c>
      <c r="W123" s="22">
        <f t="shared" si="20"/>
        <v>1</v>
      </c>
      <c r="X123" s="22">
        <v>23255</v>
      </c>
      <c r="Y123" s="23">
        <f t="shared" si="21"/>
        <v>30833.340112347603</v>
      </c>
      <c r="Z123" s="24">
        <f t="shared" si="22"/>
        <v>1325.880030632019</v>
      </c>
      <c r="AA123" s="30">
        <v>1221.280029296875</v>
      </c>
      <c r="AB123" s="30">
        <v>90.720001220703125</v>
      </c>
      <c r="AC123" s="30">
        <v>13.880000114440918</v>
      </c>
      <c r="AD123" s="25">
        <f t="shared" si="23"/>
        <v>0</v>
      </c>
      <c r="AE123" s="26">
        <f t="shared" si="24"/>
        <v>0</v>
      </c>
      <c r="AF123" s="26">
        <f t="shared" si="25"/>
        <v>0</v>
      </c>
      <c r="AG123" s="26">
        <f t="shared" si="26"/>
        <v>0</v>
      </c>
      <c r="AH123" s="25">
        <f t="shared" si="27"/>
        <v>0</v>
      </c>
      <c r="AI123" s="25">
        <f t="shared" si="28"/>
        <v>0</v>
      </c>
      <c r="AJ123" s="25">
        <f t="shared" si="29"/>
        <v>0</v>
      </c>
      <c r="AK123" s="25">
        <f t="shared" si="30"/>
        <v>0</v>
      </c>
      <c r="BA123" s="34">
        <f t="shared" si="31"/>
        <v>28400867.081298828</v>
      </c>
      <c r="BB123" s="34">
        <f t="shared" si="32"/>
        <v>2109693.6283874512</v>
      </c>
      <c r="BC123" s="34">
        <f t="shared" si="33"/>
        <v>322779.40266132355</v>
      </c>
    </row>
    <row r="124" spans="2:55">
      <c r="B124" s="2" t="s">
        <v>66</v>
      </c>
      <c r="C124" s="2" t="s">
        <v>67</v>
      </c>
      <c r="D124" s="2" t="s">
        <v>81</v>
      </c>
      <c r="E124" s="2" t="s">
        <v>79</v>
      </c>
      <c r="F124" s="2" t="s">
        <v>68</v>
      </c>
      <c r="G124" s="2" t="s">
        <v>80</v>
      </c>
      <c r="H124" s="2" t="s">
        <v>135</v>
      </c>
      <c r="I124" s="2" t="s">
        <v>117</v>
      </c>
      <c r="J124" s="2" t="s">
        <v>117</v>
      </c>
      <c r="K124" s="2" t="s">
        <v>69</v>
      </c>
      <c r="L124" s="2" t="s">
        <v>97</v>
      </c>
      <c r="M124" s="2" t="s">
        <v>88</v>
      </c>
      <c r="N124" s="2" t="s">
        <v>118</v>
      </c>
      <c r="O124" s="2" t="s">
        <v>117</v>
      </c>
      <c r="P124" s="2" t="s">
        <v>111</v>
      </c>
      <c r="Q124" s="31">
        <v>0</v>
      </c>
      <c r="R124" s="2" t="s">
        <v>117</v>
      </c>
      <c r="S124" s="2" t="s">
        <v>120</v>
      </c>
      <c r="T124" s="20">
        <v>46113</v>
      </c>
      <c r="U124" s="32">
        <v>2</v>
      </c>
      <c r="V124" s="32">
        <v>1</v>
      </c>
      <c r="W124" s="22">
        <f t="shared" si="20"/>
        <v>1</v>
      </c>
      <c r="X124" s="22">
        <v>47641</v>
      </c>
      <c r="Y124" s="23">
        <f t="shared" si="21"/>
        <v>57904.779337142943</v>
      </c>
      <c r="Z124" s="24">
        <f t="shared" si="22"/>
        <v>1215.4400482177734</v>
      </c>
      <c r="AA124" s="30">
        <v>1090.800048828125</v>
      </c>
      <c r="AB124" s="30">
        <v>42.459999084472656</v>
      </c>
      <c r="AC124" s="30">
        <v>82.180000305175781</v>
      </c>
      <c r="AD124" s="25">
        <f t="shared" si="23"/>
        <v>0</v>
      </c>
      <c r="AE124" s="26">
        <f t="shared" si="24"/>
        <v>0</v>
      </c>
      <c r="AF124" s="26">
        <f t="shared" si="25"/>
        <v>0</v>
      </c>
      <c r="AG124" s="26">
        <f t="shared" si="26"/>
        <v>0</v>
      </c>
      <c r="AH124" s="25">
        <f t="shared" si="27"/>
        <v>0</v>
      </c>
      <c r="AI124" s="25">
        <f t="shared" si="28"/>
        <v>0</v>
      </c>
      <c r="AJ124" s="25">
        <f t="shared" si="29"/>
        <v>0</v>
      </c>
      <c r="AK124" s="25">
        <f t="shared" si="30"/>
        <v>0</v>
      </c>
      <c r="BA124" s="34">
        <f t="shared" si="31"/>
        <v>51966805.126220703</v>
      </c>
      <c r="BB124" s="34">
        <f t="shared" si="32"/>
        <v>2022836.8163833618</v>
      </c>
      <c r="BC124" s="34">
        <f t="shared" si="33"/>
        <v>3915137.3945388794</v>
      </c>
    </row>
    <row r="125" spans="2:55">
      <c r="B125" s="2" t="s">
        <v>66</v>
      </c>
      <c r="C125" s="2" t="s">
        <v>67</v>
      </c>
      <c r="D125" s="2" t="s">
        <v>81</v>
      </c>
      <c r="E125" s="2" t="s">
        <v>79</v>
      </c>
      <c r="F125" s="2" t="s">
        <v>68</v>
      </c>
      <c r="G125" s="28" t="s">
        <v>80</v>
      </c>
      <c r="H125" s="2" t="s">
        <v>117</v>
      </c>
      <c r="I125" s="2" t="s">
        <v>117</v>
      </c>
      <c r="J125" s="2" t="s">
        <v>117</v>
      </c>
      <c r="K125" s="2" t="s">
        <v>69</v>
      </c>
      <c r="L125" s="2" t="s">
        <v>97</v>
      </c>
      <c r="M125" s="2" t="s">
        <v>89</v>
      </c>
      <c r="N125" s="2" t="s">
        <v>119</v>
      </c>
      <c r="O125" s="2" t="s">
        <v>117</v>
      </c>
      <c r="P125" s="2" t="s">
        <v>111</v>
      </c>
      <c r="Q125" s="31" t="s">
        <v>131</v>
      </c>
      <c r="R125" s="2" t="s">
        <v>117</v>
      </c>
      <c r="S125" s="2" t="s">
        <v>120</v>
      </c>
      <c r="T125" s="20">
        <v>46113</v>
      </c>
      <c r="U125" s="32">
        <v>2</v>
      </c>
      <c r="V125" s="32">
        <v>1</v>
      </c>
      <c r="W125" s="22">
        <f t="shared" si="20"/>
        <v>1</v>
      </c>
      <c r="X125" s="22">
        <v>27627</v>
      </c>
      <c r="Y125" s="23">
        <f t="shared" si="21"/>
        <v>50911.864460586548</v>
      </c>
      <c r="Z125" s="24">
        <f t="shared" si="22"/>
        <v>1842.8300018310547</v>
      </c>
      <c r="AA125" s="30">
        <v>1494.6400146484375</v>
      </c>
      <c r="AB125" s="30">
        <v>289.57998657226563</v>
      </c>
      <c r="AC125" s="30">
        <v>58.610000610351563</v>
      </c>
      <c r="AD125" s="25">
        <f t="shared" si="23"/>
        <v>0</v>
      </c>
      <c r="AE125" s="26">
        <f t="shared" si="24"/>
        <v>0</v>
      </c>
      <c r="AF125" s="26">
        <f t="shared" si="25"/>
        <v>0</v>
      </c>
      <c r="AG125" s="26">
        <f t="shared" si="26"/>
        <v>0</v>
      </c>
      <c r="AH125" s="25">
        <f t="shared" si="27"/>
        <v>0</v>
      </c>
      <c r="AI125" s="25">
        <f t="shared" si="28"/>
        <v>0</v>
      </c>
      <c r="AJ125" s="25">
        <f t="shared" si="29"/>
        <v>0</v>
      </c>
      <c r="AK125" s="25">
        <f t="shared" si="30"/>
        <v>0</v>
      </c>
      <c r="BA125" s="34">
        <f t="shared" si="31"/>
        <v>41292419.684692383</v>
      </c>
      <c r="BB125" s="34">
        <f t="shared" si="32"/>
        <v>8000226.2890319824</v>
      </c>
      <c r="BC125" s="34">
        <f t="shared" si="33"/>
        <v>1619218.4868621826</v>
      </c>
    </row>
    <row r="126" spans="2:55">
      <c r="B126" s="2" t="s">
        <v>66</v>
      </c>
      <c r="C126" s="2" t="s">
        <v>67</v>
      </c>
      <c r="D126" s="2" t="s">
        <v>81</v>
      </c>
      <c r="E126" s="2" t="s">
        <v>79</v>
      </c>
      <c r="F126" s="2" t="s">
        <v>68</v>
      </c>
      <c r="G126" s="28" t="s">
        <v>80</v>
      </c>
      <c r="H126" s="2" t="s">
        <v>117</v>
      </c>
      <c r="I126" s="2" t="s">
        <v>117</v>
      </c>
      <c r="J126" s="2" t="s">
        <v>117</v>
      </c>
      <c r="K126" s="2" t="s">
        <v>69</v>
      </c>
      <c r="L126" s="2" t="s">
        <v>97</v>
      </c>
      <c r="M126" s="2" t="s">
        <v>89</v>
      </c>
      <c r="N126" s="2" t="s">
        <v>119</v>
      </c>
      <c r="O126" s="2" t="s">
        <v>117</v>
      </c>
      <c r="P126" s="2" t="s">
        <v>111</v>
      </c>
      <c r="Q126" s="31" t="s">
        <v>132</v>
      </c>
      <c r="R126" s="2" t="s">
        <v>117</v>
      </c>
      <c r="S126" s="2" t="s">
        <v>120</v>
      </c>
      <c r="T126" s="20">
        <v>46113</v>
      </c>
      <c r="U126" s="32">
        <v>2</v>
      </c>
      <c r="V126" s="32">
        <v>1</v>
      </c>
      <c r="W126" s="22">
        <f t="shared" si="20"/>
        <v>1</v>
      </c>
      <c r="X126" s="22">
        <v>40133</v>
      </c>
      <c r="Y126" s="23">
        <f t="shared" si="21"/>
        <v>66105.874761276238</v>
      </c>
      <c r="Z126" s="24">
        <f t="shared" si="22"/>
        <v>1647.1700286865234</v>
      </c>
      <c r="AA126" s="30">
        <v>1390.6500244140625</v>
      </c>
      <c r="AB126" s="30">
        <v>223.24000549316406</v>
      </c>
      <c r="AC126" s="30">
        <v>33.279998779296875</v>
      </c>
      <c r="AD126" s="25">
        <f t="shared" si="23"/>
        <v>0</v>
      </c>
      <c r="AE126" s="26">
        <f t="shared" si="24"/>
        <v>0</v>
      </c>
      <c r="AF126" s="26">
        <f t="shared" si="25"/>
        <v>0</v>
      </c>
      <c r="AG126" s="26">
        <f t="shared" si="26"/>
        <v>0</v>
      </c>
      <c r="AH126" s="25">
        <f t="shared" si="27"/>
        <v>0</v>
      </c>
      <c r="AI126" s="25">
        <f t="shared" si="28"/>
        <v>0</v>
      </c>
      <c r="AJ126" s="25">
        <f t="shared" si="29"/>
        <v>0</v>
      </c>
      <c r="AK126" s="25">
        <f t="shared" si="30"/>
        <v>0</v>
      </c>
      <c r="BA126" s="34">
        <f t="shared" si="31"/>
        <v>55810957.42980957</v>
      </c>
      <c r="BB126" s="34">
        <f t="shared" si="32"/>
        <v>8959291.1404571533</v>
      </c>
      <c r="BC126" s="34">
        <f t="shared" si="33"/>
        <v>1335626.1910095215</v>
      </c>
    </row>
    <row r="127" spans="2:55">
      <c r="B127" s="2" t="s">
        <v>66</v>
      </c>
      <c r="C127" s="2" t="s">
        <v>67</v>
      </c>
      <c r="D127" s="2" t="s">
        <v>81</v>
      </c>
      <c r="E127" s="2" t="s">
        <v>79</v>
      </c>
      <c r="F127" s="2" t="s">
        <v>68</v>
      </c>
      <c r="G127" s="28" t="s">
        <v>80</v>
      </c>
      <c r="H127" s="2" t="s">
        <v>117</v>
      </c>
      <c r="I127" s="2" t="s">
        <v>117</v>
      </c>
      <c r="J127" s="2" t="s">
        <v>117</v>
      </c>
      <c r="K127" s="2" t="s">
        <v>69</v>
      </c>
      <c r="L127" s="2" t="s">
        <v>97</v>
      </c>
      <c r="M127" s="2" t="s">
        <v>89</v>
      </c>
      <c r="N127" s="2" t="s">
        <v>119</v>
      </c>
      <c r="O127" s="2" t="s">
        <v>117</v>
      </c>
      <c r="P127" s="2" t="s">
        <v>111</v>
      </c>
      <c r="Q127" s="31" t="s">
        <v>133</v>
      </c>
      <c r="R127" s="2" t="s">
        <v>117</v>
      </c>
      <c r="S127" s="2" t="s">
        <v>120</v>
      </c>
      <c r="T127" s="20">
        <v>46113</v>
      </c>
      <c r="U127" s="32">
        <v>2</v>
      </c>
      <c r="V127" s="32">
        <v>1</v>
      </c>
      <c r="W127" s="22">
        <f t="shared" si="20"/>
        <v>1</v>
      </c>
      <c r="X127" s="22">
        <v>28142</v>
      </c>
      <c r="Y127" s="23">
        <f t="shared" si="21"/>
        <v>42114.22141252899</v>
      </c>
      <c r="Z127" s="24">
        <f t="shared" si="22"/>
        <v>1496.4899940490723</v>
      </c>
      <c r="AA127" s="30">
        <v>1365.6199951171875</v>
      </c>
      <c r="AB127" s="30">
        <v>102.06999969482422</v>
      </c>
      <c r="AC127" s="30">
        <v>28.799999237060547</v>
      </c>
      <c r="AD127" s="25">
        <f t="shared" si="23"/>
        <v>0</v>
      </c>
      <c r="AE127" s="26">
        <f t="shared" si="24"/>
        <v>0</v>
      </c>
      <c r="AF127" s="26">
        <f t="shared" si="25"/>
        <v>0</v>
      </c>
      <c r="AG127" s="26">
        <f t="shared" si="26"/>
        <v>0</v>
      </c>
      <c r="AH127" s="25">
        <f t="shared" si="27"/>
        <v>0</v>
      </c>
      <c r="AI127" s="25">
        <f t="shared" si="28"/>
        <v>0</v>
      </c>
      <c r="AJ127" s="25">
        <f t="shared" si="29"/>
        <v>0</v>
      </c>
      <c r="AK127" s="25">
        <f t="shared" si="30"/>
        <v>0</v>
      </c>
      <c r="BA127" s="34">
        <f t="shared" si="31"/>
        <v>38431277.902587891</v>
      </c>
      <c r="BB127" s="34">
        <f t="shared" si="32"/>
        <v>2872453.9314117432</v>
      </c>
      <c r="BC127" s="34">
        <f t="shared" si="33"/>
        <v>810489.57852935791</v>
      </c>
    </row>
    <row r="128" spans="2:55">
      <c r="B128" s="2" t="s">
        <v>66</v>
      </c>
      <c r="C128" s="2" t="s">
        <v>67</v>
      </c>
      <c r="D128" s="2" t="s">
        <v>81</v>
      </c>
      <c r="E128" s="2" t="s">
        <v>79</v>
      </c>
      <c r="F128" s="2" t="s">
        <v>68</v>
      </c>
      <c r="G128" s="28" t="s">
        <v>80</v>
      </c>
      <c r="H128" s="2" t="s">
        <v>134</v>
      </c>
      <c r="I128" s="2" t="s">
        <v>117</v>
      </c>
      <c r="J128" s="2" t="s">
        <v>117</v>
      </c>
      <c r="K128" s="2" t="s">
        <v>69</v>
      </c>
      <c r="L128" s="2" t="s">
        <v>97</v>
      </c>
      <c r="M128" s="2" t="s">
        <v>89</v>
      </c>
      <c r="N128" s="2" t="s">
        <v>119</v>
      </c>
      <c r="O128" s="2" t="s">
        <v>117</v>
      </c>
      <c r="P128" s="2" t="s">
        <v>111</v>
      </c>
      <c r="Q128" s="31">
        <v>0</v>
      </c>
      <c r="R128" s="2" t="s">
        <v>117</v>
      </c>
      <c r="S128" s="2" t="s">
        <v>120</v>
      </c>
      <c r="T128" s="20">
        <v>46113</v>
      </c>
      <c r="U128" s="32">
        <v>2</v>
      </c>
      <c r="V128" s="32">
        <v>1</v>
      </c>
      <c r="W128" s="22">
        <f t="shared" si="20"/>
        <v>1</v>
      </c>
      <c r="X128" s="22">
        <v>35860</v>
      </c>
      <c r="Y128" s="23">
        <f t="shared" si="21"/>
        <v>50210.094274780749</v>
      </c>
      <c r="Z128" s="24">
        <f t="shared" si="22"/>
        <v>1400.1699463129044</v>
      </c>
      <c r="AA128" s="30">
        <v>1147.699951171875</v>
      </c>
      <c r="AB128" s="30">
        <v>250.6199951171875</v>
      </c>
      <c r="AC128" s="30">
        <v>1.8500000238418579</v>
      </c>
      <c r="AD128" s="25">
        <f t="shared" si="23"/>
        <v>0</v>
      </c>
      <c r="AE128" s="26">
        <f t="shared" si="24"/>
        <v>0</v>
      </c>
      <c r="AF128" s="26">
        <f t="shared" si="25"/>
        <v>0</v>
      </c>
      <c r="AG128" s="26">
        <f t="shared" si="26"/>
        <v>0</v>
      </c>
      <c r="AH128" s="25">
        <f t="shared" si="27"/>
        <v>0</v>
      </c>
      <c r="AI128" s="25">
        <f t="shared" si="28"/>
        <v>0</v>
      </c>
      <c r="AJ128" s="25">
        <f t="shared" si="29"/>
        <v>0</v>
      </c>
      <c r="AK128" s="25">
        <f t="shared" si="30"/>
        <v>0</v>
      </c>
      <c r="BA128" s="34">
        <f t="shared" si="31"/>
        <v>41156520.249023438</v>
      </c>
      <c r="BB128" s="34">
        <f t="shared" si="32"/>
        <v>8987233.0249023438</v>
      </c>
      <c r="BC128" s="34">
        <f t="shared" si="33"/>
        <v>66341.000854969025</v>
      </c>
    </row>
    <row r="129" spans="2:55">
      <c r="B129" s="2" t="s">
        <v>66</v>
      </c>
      <c r="C129" s="2" t="s">
        <v>67</v>
      </c>
      <c r="D129" s="2" t="s">
        <v>81</v>
      </c>
      <c r="E129" s="2" t="s">
        <v>79</v>
      </c>
      <c r="F129" s="2" t="s">
        <v>68</v>
      </c>
      <c r="G129" s="28" t="s">
        <v>80</v>
      </c>
      <c r="H129" s="2" t="s">
        <v>135</v>
      </c>
      <c r="I129" s="2" t="s">
        <v>117</v>
      </c>
      <c r="J129" s="2" t="s">
        <v>117</v>
      </c>
      <c r="K129" s="2" t="s">
        <v>69</v>
      </c>
      <c r="L129" s="2" t="s">
        <v>97</v>
      </c>
      <c r="M129" s="2" t="s">
        <v>89</v>
      </c>
      <c r="N129" s="2" t="s">
        <v>119</v>
      </c>
      <c r="O129" s="2" t="s">
        <v>117</v>
      </c>
      <c r="P129" s="2" t="s">
        <v>111</v>
      </c>
      <c r="Q129" s="31">
        <v>0</v>
      </c>
      <c r="R129" s="2" t="s">
        <v>117</v>
      </c>
      <c r="S129" s="2" t="s">
        <v>120</v>
      </c>
      <c r="T129" s="20">
        <v>46113</v>
      </c>
      <c r="U129" s="32">
        <v>2</v>
      </c>
      <c r="V129" s="32">
        <v>1</v>
      </c>
      <c r="W129" s="22">
        <f t="shared" si="20"/>
        <v>1</v>
      </c>
      <c r="X129" s="22">
        <v>6368</v>
      </c>
      <c r="Y129" s="23">
        <f t="shared" si="21"/>
        <v>9052.6213302001961</v>
      </c>
      <c r="Z129" s="24">
        <f t="shared" si="22"/>
        <v>1421.5799827575684</v>
      </c>
      <c r="AA129" s="30">
        <v>1318.97998046875</v>
      </c>
      <c r="AB129" s="30">
        <v>32.810001373291016</v>
      </c>
      <c r="AC129" s="30">
        <v>69.790000915527344</v>
      </c>
      <c r="AD129" s="25">
        <f t="shared" si="23"/>
        <v>0</v>
      </c>
      <c r="AE129" s="26">
        <f t="shared" si="24"/>
        <v>0</v>
      </c>
      <c r="AF129" s="26">
        <f t="shared" si="25"/>
        <v>0</v>
      </c>
      <c r="AG129" s="26">
        <f t="shared" si="26"/>
        <v>0</v>
      </c>
      <c r="AH129" s="25">
        <f t="shared" si="27"/>
        <v>0</v>
      </c>
      <c r="AI129" s="25">
        <f t="shared" si="28"/>
        <v>0</v>
      </c>
      <c r="AJ129" s="25">
        <f t="shared" si="29"/>
        <v>0</v>
      </c>
      <c r="AK129" s="25">
        <f t="shared" si="30"/>
        <v>0</v>
      </c>
      <c r="BA129" s="34">
        <f t="shared" si="31"/>
        <v>8399264.515625</v>
      </c>
      <c r="BB129" s="34">
        <f t="shared" si="32"/>
        <v>208934.08874511719</v>
      </c>
      <c r="BC129" s="34">
        <f t="shared" si="33"/>
        <v>444422.72583007813</v>
      </c>
    </row>
    <row r="130" spans="2:55">
      <c r="B130" s="2" t="s">
        <v>66</v>
      </c>
      <c r="C130" s="2" t="s">
        <v>67</v>
      </c>
      <c r="D130" s="2" t="s">
        <v>81</v>
      </c>
      <c r="E130" s="2" t="s">
        <v>79</v>
      </c>
      <c r="F130" s="2" t="s">
        <v>68</v>
      </c>
      <c r="G130" s="28" t="s">
        <v>80</v>
      </c>
      <c r="H130" s="2" t="s">
        <v>117</v>
      </c>
      <c r="I130" s="2" t="s">
        <v>117</v>
      </c>
      <c r="J130" s="2" t="s">
        <v>117</v>
      </c>
      <c r="K130" s="2" t="s">
        <v>69</v>
      </c>
      <c r="L130" s="2" t="s">
        <v>98</v>
      </c>
      <c r="M130" s="2" t="s">
        <v>85</v>
      </c>
      <c r="N130" s="2" t="s">
        <v>112</v>
      </c>
      <c r="O130" s="2" t="s">
        <v>117</v>
      </c>
      <c r="P130" s="2" t="s">
        <v>111</v>
      </c>
      <c r="Q130" s="31">
        <v>0</v>
      </c>
      <c r="R130" s="2" t="s">
        <v>117</v>
      </c>
      <c r="S130" s="2" t="s">
        <v>120</v>
      </c>
      <c r="T130" s="20">
        <v>46113</v>
      </c>
      <c r="U130" s="32">
        <v>2</v>
      </c>
      <c r="V130" s="32">
        <v>1</v>
      </c>
      <c r="W130" s="22">
        <f t="shared" si="20"/>
        <v>1</v>
      </c>
      <c r="X130" s="22">
        <v>41781</v>
      </c>
      <c r="Y130" s="23">
        <f t="shared" si="21"/>
        <v>62271.653930168155</v>
      </c>
      <c r="Z130" s="24">
        <f t="shared" si="22"/>
        <v>1490.4299545288086</v>
      </c>
      <c r="AA130" s="30">
        <v>1227.949951171875</v>
      </c>
      <c r="AB130" s="30">
        <v>200.33000183105469</v>
      </c>
      <c r="AC130" s="30">
        <v>62.150001525878906</v>
      </c>
      <c r="AD130" s="25">
        <f t="shared" si="23"/>
        <v>0</v>
      </c>
      <c r="AE130" s="26">
        <f t="shared" si="24"/>
        <v>0</v>
      </c>
      <c r="AF130" s="26">
        <f t="shared" si="25"/>
        <v>0</v>
      </c>
      <c r="AG130" s="26">
        <f t="shared" si="26"/>
        <v>0</v>
      </c>
      <c r="AH130" s="25">
        <f t="shared" si="27"/>
        <v>0</v>
      </c>
      <c r="AI130" s="25">
        <f t="shared" si="28"/>
        <v>0</v>
      </c>
      <c r="AJ130" s="25">
        <f t="shared" si="29"/>
        <v>0</v>
      </c>
      <c r="AK130" s="25">
        <f t="shared" si="30"/>
        <v>0</v>
      </c>
      <c r="BA130" s="34">
        <f t="shared" si="31"/>
        <v>51304976.909912109</v>
      </c>
      <c r="BB130" s="34">
        <f t="shared" si="32"/>
        <v>8369987.8065032959</v>
      </c>
      <c r="BC130" s="34">
        <f t="shared" si="33"/>
        <v>2596689.2137527466</v>
      </c>
    </row>
    <row r="131" spans="2:55">
      <c r="B131" s="2" t="s">
        <v>66</v>
      </c>
      <c r="C131" s="2" t="s">
        <v>67</v>
      </c>
      <c r="D131" s="2" t="s">
        <v>81</v>
      </c>
      <c r="E131" s="2" t="s">
        <v>79</v>
      </c>
      <c r="F131" s="2" t="s">
        <v>68</v>
      </c>
      <c r="G131" s="28" t="s">
        <v>80</v>
      </c>
      <c r="H131" s="2" t="s">
        <v>117</v>
      </c>
      <c r="I131" s="2" t="s">
        <v>117</v>
      </c>
      <c r="J131" s="2" t="s">
        <v>136</v>
      </c>
      <c r="K131" s="2" t="s">
        <v>69</v>
      </c>
      <c r="L131" s="2" t="s">
        <v>98</v>
      </c>
      <c r="M131" s="2" t="s">
        <v>85</v>
      </c>
      <c r="N131" s="2" t="s">
        <v>112</v>
      </c>
      <c r="O131" s="2" t="s">
        <v>117</v>
      </c>
      <c r="P131" s="2" t="s">
        <v>111</v>
      </c>
      <c r="Q131" s="31">
        <v>0</v>
      </c>
      <c r="R131" s="2" t="s">
        <v>117</v>
      </c>
      <c r="S131" s="2" t="s">
        <v>120</v>
      </c>
      <c r="T131" s="20">
        <v>46113</v>
      </c>
      <c r="U131" s="32">
        <v>2</v>
      </c>
      <c r="V131" s="32">
        <v>1</v>
      </c>
      <c r="W131" s="22">
        <f t="shared" si="20"/>
        <v>1</v>
      </c>
      <c r="X131" s="22">
        <v>25903</v>
      </c>
      <c r="Y131" s="23">
        <f t="shared" si="21"/>
        <v>36662.328785896301</v>
      </c>
      <c r="Z131" s="24">
        <f t="shared" si="22"/>
        <v>1415.369987487793</v>
      </c>
      <c r="AA131" s="30">
        <v>1101.989990234375</v>
      </c>
      <c r="AB131" s="30">
        <v>216.1199951171875</v>
      </c>
      <c r="AC131" s="30">
        <v>97.260002136230469</v>
      </c>
      <c r="AD131" s="25">
        <f t="shared" si="23"/>
        <v>0</v>
      </c>
      <c r="AE131" s="26">
        <f t="shared" si="24"/>
        <v>0</v>
      </c>
      <c r="AF131" s="26">
        <f t="shared" si="25"/>
        <v>0</v>
      </c>
      <c r="AG131" s="26">
        <f t="shared" si="26"/>
        <v>0</v>
      </c>
      <c r="AH131" s="25">
        <f t="shared" si="27"/>
        <v>0</v>
      </c>
      <c r="AI131" s="25">
        <f t="shared" si="28"/>
        <v>0</v>
      </c>
      <c r="AJ131" s="25">
        <f t="shared" si="29"/>
        <v>0</v>
      </c>
      <c r="AK131" s="25">
        <f t="shared" si="30"/>
        <v>0</v>
      </c>
      <c r="BA131" s="34">
        <f t="shared" si="31"/>
        <v>28544846.717041016</v>
      </c>
      <c r="BB131" s="34">
        <f t="shared" si="32"/>
        <v>5598156.2335205078</v>
      </c>
      <c r="BC131" s="34">
        <f t="shared" si="33"/>
        <v>2519325.8353347778</v>
      </c>
    </row>
    <row r="132" spans="2:55">
      <c r="B132" s="2" t="s">
        <v>66</v>
      </c>
      <c r="C132" s="2" t="s">
        <v>67</v>
      </c>
      <c r="D132" s="2" t="s">
        <v>81</v>
      </c>
      <c r="E132" s="2" t="s">
        <v>79</v>
      </c>
      <c r="F132" s="2" t="s">
        <v>68</v>
      </c>
      <c r="G132" s="28" t="s">
        <v>80</v>
      </c>
      <c r="H132" s="2" t="s">
        <v>117</v>
      </c>
      <c r="I132" s="2" t="s">
        <v>117</v>
      </c>
      <c r="J132" s="2" t="s">
        <v>117</v>
      </c>
      <c r="K132" s="2" t="s">
        <v>69</v>
      </c>
      <c r="L132" s="2" t="s">
        <v>98</v>
      </c>
      <c r="M132" s="2" t="s">
        <v>86</v>
      </c>
      <c r="N132" s="2" t="s">
        <v>113</v>
      </c>
      <c r="O132" s="2" t="s">
        <v>117</v>
      </c>
      <c r="P132" s="2" t="s">
        <v>111</v>
      </c>
      <c r="Q132" s="31">
        <v>0</v>
      </c>
      <c r="R132" s="2" t="s">
        <v>117</v>
      </c>
      <c r="S132" s="2" t="s">
        <v>120</v>
      </c>
      <c r="T132" s="20">
        <v>46113</v>
      </c>
      <c r="U132" s="32">
        <v>2</v>
      </c>
      <c r="V132" s="32">
        <v>1</v>
      </c>
      <c r="W132" s="22">
        <f t="shared" si="20"/>
        <v>1</v>
      </c>
      <c r="X132" s="22">
        <v>9385</v>
      </c>
      <c r="Y132" s="23">
        <f t="shared" si="21"/>
        <v>13105.871319465637</v>
      </c>
      <c r="Z132" s="24">
        <f t="shared" si="22"/>
        <v>1396.4700393676758</v>
      </c>
      <c r="AA132" s="30">
        <v>1159.9200439453125</v>
      </c>
      <c r="AB132" s="30">
        <v>152.78999328613281</v>
      </c>
      <c r="AC132" s="30">
        <v>83.760002136230469</v>
      </c>
      <c r="AD132" s="25">
        <f t="shared" si="23"/>
        <v>0</v>
      </c>
      <c r="AE132" s="26">
        <f t="shared" si="24"/>
        <v>0</v>
      </c>
      <c r="AF132" s="26">
        <f t="shared" si="25"/>
        <v>0</v>
      </c>
      <c r="AG132" s="26">
        <f t="shared" si="26"/>
        <v>0</v>
      </c>
      <c r="AH132" s="25">
        <f t="shared" si="27"/>
        <v>0</v>
      </c>
      <c r="AI132" s="25">
        <f t="shared" si="28"/>
        <v>0</v>
      </c>
      <c r="AJ132" s="25">
        <f t="shared" si="29"/>
        <v>0</v>
      </c>
      <c r="AK132" s="25">
        <f t="shared" si="30"/>
        <v>0</v>
      </c>
      <c r="BA132" s="34">
        <f t="shared" si="31"/>
        <v>10885849.612426758</v>
      </c>
      <c r="BB132" s="34">
        <f t="shared" si="32"/>
        <v>1433934.0869903564</v>
      </c>
      <c r="BC132" s="34">
        <f t="shared" si="33"/>
        <v>786087.62004852295</v>
      </c>
    </row>
    <row r="133" spans="2:55">
      <c r="B133" s="2" t="s">
        <v>66</v>
      </c>
      <c r="C133" s="2" t="s">
        <v>67</v>
      </c>
      <c r="D133" s="2" t="s">
        <v>81</v>
      </c>
      <c r="E133" s="2" t="s">
        <v>79</v>
      </c>
      <c r="F133" s="2" t="s">
        <v>68</v>
      </c>
      <c r="G133" s="28" t="s">
        <v>80</v>
      </c>
      <c r="H133" s="2" t="s">
        <v>137</v>
      </c>
      <c r="I133" s="2" t="s">
        <v>117</v>
      </c>
      <c r="J133" s="2" t="s">
        <v>117</v>
      </c>
      <c r="K133" s="2" t="s">
        <v>69</v>
      </c>
      <c r="L133" s="2" t="s">
        <v>98</v>
      </c>
      <c r="M133" s="2" t="s">
        <v>86</v>
      </c>
      <c r="N133" s="2" t="s">
        <v>113</v>
      </c>
      <c r="O133" s="2" t="s">
        <v>117</v>
      </c>
      <c r="P133" s="2" t="s">
        <v>111</v>
      </c>
      <c r="Q133" s="31">
        <v>0</v>
      </c>
      <c r="R133" s="2" t="s">
        <v>117</v>
      </c>
      <c r="S133" s="2" t="s">
        <v>120</v>
      </c>
      <c r="T133" s="20">
        <v>46113</v>
      </c>
      <c r="U133" s="32">
        <v>2</v>
      </c>
      <c r="V133" s="32">
        <v>1</v>
      </c>
      <c r="W133" s="22">
        <f t="shared" si="20"/>
        <v>1</v>
      </c>
      <c r="X133" s="22">
        <v>7377</v>
      </c>
      <c r="Y133" s="23">
        <f t="shared" si="21"/>
        <v>9130.2177625923159</v>
      </c>
      <c r="Z133" s="24">
        <f t="shared" si="22"/>
        <v>1237.6599922180176</v>
      </c>
      <c r="AA133" s="30">
        <v>924.41998291015625</v>
      </c>
      <c r="AB133" s="30">
        <v>266.04000854492188</v>
      </c>
      <c r="AC133" s="30">
        <v>47.200000762939453</v>
      </c>
      <c r="AD133" s="25">
        <f t="shared" si="23"/>
        <v>0</v>
      </c>
      <c r="AE133" s="26">
        <f t="shared" si="24"/>
        <v>0</v>
      </c>
      <c r="AF133" s="26">
        <f t="shared" si="25"/>
        <v>0</v>
      </c>
      <c r="AG133" s="26">
        <f t="shared" si="26"/>
        <v>0</v>
      </c>
      <c r="AH133" s="25">
        <f t="shared" si="27"/>
        <v>0</v>
      </c>
      <c r="AI133" s="25">
        <f t="shared" si="28"/>
        <v>0</v>
      </c>
      <c r="AJ133" s="25">
        <f t="shared" si="29"/>
        <v>0</v>
      </c>
      <c r="AK133" s="25">
        <f t="shared" si="30"/>
        <v>0</v>
      </c>
      <c r="BA133" s="34">
        <f t="shared" si="31"/>
        <v>6819446.2139282227</v>
      </c>
      <c r="BB133" s="34">
        <f t="shared" si="32"/>
        <v>1962577.1430358887</v>
      </c>
      <c r="BC133" s="34">
        <f t="shared" si="33"/>
        <v>348194.40562820435</v>
      </c>
    </row>
    <row r="134" spans="2:55">
      <c r="B134" s="2" t="s">
        <v>66</v>
      </c>
      <c r="C134" s="2" t="s">
        <v>67</v>
      </c>
      <c r="D134" s="2" t="s">
        <v>81</v>
      </c>
      <c r="E134" s="2" t="s">
        <v>79</v>
      </c>
      <c r="F134" s="2" t="s">
        <v>68</v>
      </c>
      <c r="G134" s="28" t="s">
        <v>80</v>
      </c>
      <c r="H134" s="2" t="s">
        <v>117</v>
      </c>
      <c r="I134" s="2" t="s">
        <v>117</v>
      </c>
      <c r="J134" s="2" t="s">
        <v>117</v>
      </c>
      <c r="K134" s="2" t="s">
        <v>69</v>
      </c>
      <c r="L134" s="2" t="s">
        <v>98</v>
      </c>
      <c r="M134" s="2" t="s">
        <v>86</v>
      </c>
      <c r="N134" s="2" t="s">
        <v>114</v>
      </c>
      <c r="O134" s="2" t="s">
        <v>117</v>
      </c>
      <c r="P134" s="2" t="s">
        <v>111</v>
      </c>
      <c r="Q134" s="31">
        <v>0</v>
      </c>
      <c r="R134" s="2" t="s">
        <v>117</v>
      </c>
      <c r="S134" s="2" t="s">
        <v>120</v>
      </c>
      <c r="T134" s="20">
        <v>46113</v>
      </c>
      <c r="U134" s="32">
        <v>2</v>
      </c>
      <c r="V134" s="32">
        <v>1</v>
      </c>
      <c r="W134" s="22">
        <f t="shared" si="20"/>
        <v>1</v>
      </c>
      <c r="X134" s="22">
        <v>9692</v>
      </c>
      <c r="Y134" s="23">
        <f t="shared" si="21"/>
        <v>12205.232496337891</v>
      </c>
      <c r="Z134" s="24">
        <f t="shared" si="22"/>
        <v>1259.3099975585938</v>
      </c>
      <c r="AA134" s="30">
        <v>1134.6199951171875</v>
      </c>
      <c r="AB134" s="30">
        <v>43.110000610351563</v>
      </c>
      <c r="AC134" s="30">
        <v>81.580001831054688</v>
      </c>
      <c r="AD134" s="25">
        <f t="shared" si="23"/>
        <v>0</v>
      </c>
      <c r="AE134" s="26">
        <f t="shared" si="24"/>
        <v>0</v>
      </c>
      <c r="AF134" s="26">
        <f t="shared" si="25"/>
        <v>0</v>
      </c>
      <c r="AG134" s="26">
        <f t="shared" si="26"/>
        <v>0</v>
      </c>
      <c r="AH134" s="25">
        <f t="shared" si="27"/>
        <v>0</v>
      </c>
      <c r="AI134" s="25">
        <f t="shared" si="28"/>
        <v>0</v>
      </c>
      <c r="AJ134" s="25">
        <f t="shared" si="29"/>
        <v>0</v>
      </c>
      <c r="AK134" s="25">
        <f t="shared" si="30"/>
        <v>0</v>
      </c>
      <c r="BA134" s="34">
        <f t="shared" si="31"/>
        <v>10996736.992675781</v>
      </c>
      <c r="BB134" s="34">
        <f t="shared" si="32"/>
        <v>417822.12591552734</v>
      </c>
      <c r="BC134" s="34">
        <f t="shared" si="33"/>
        <v>790673.37774658203</v>
      </c>
    </row>
    <row r="135" spans="2:55">
      <c r="B135" s="2" t="s">
        <v>66</v>
      </c>
      <c r="C135" s="2" t="s">
        <v>67</v>
      </c>
      <c r="D135" s="2" t="s">
        <v>81</v>
      </c>
      <c r="E135" s="2" t="s">
        <v>79</v>
      </c>
      <c r="F135" s="2" t="s">
        <v>68</v>
      </c>
      <c r="G135" s="28" t="s">
        <v>80</v>
      </c>
      <c r="H135" s="2" t="s">
        <v>117</v>
      </c>
      <c r="I135" s="2" t="s">
        <v>117</v>
      </c>
      <c r="J135" s="2" t="s">
        <v>117</v>
      </c>
      <c r="K135" s="2" t="s">
        <v>69</v>
      </c>
      <c r="L135" s="2" t="s">
        <v>98</v>
      </c>
      <c r="M135" s="2" t="s">
        <v>86</v>
      </c>
      <c r="N135" s="2" t="s">
        <v>138</v>
      </c>
      <c r="O135" s="2" t="s">
        <v>117</v>
      </c>
      <c r="P135" s="2" t="s">
        <v>111</v>
      </c>
      <c r="Q135" s="31">
        <v>0</v>
      </c>
      <c r="R135" s="2" t="s">
        <v>117</v>
      </c>
      <c r="S135" s="2" t="s">
        <v>120</v>
      </c>
      <c r="T135" s="20">
        <v>46113</v>
      </c>
      <c r="U135" s="32">
        <v>2</v>
      </c>
      <c r="V135" s="32">
        <v>1</v>
      </c>
      <c r="W135" s="22">
        <f t="shared" ref="W135:W198" si="34">IF(K135="내수", 1, 1300)</f>
        <v>1</v>
      </c>
      <c r="X135" s="22">
        <v>3452</v>
      </c>
      <c r="Y135" s="23">
        <f t="shared" ref="Y135:Y198" si="35">X135*Z135/1000</f>
        <v>3834.1020135269164</v>
      </c>
      <c r="Z135" s="24">
        <f t="shared" ref="Z135:Z198" si="36">AA135+AB135+AC135</f>
        <v>1110.6900386810303</v>
      </c>
      <c r="AA135" s="30">
        <v>1058.5400390625</v>
      </c>
      <c r="AB135" s="30">
        <v>26.239999771118164</v>
      </c>
      <c r="AC135" s="30">
        <v>25.909999847412109</v>
      </c>
      <c r="AD135" s="25">
        <f t="shared" ref="AD135:AD198" si="37">AE135+AF135+AG135</f>
        <v>0</v>
      </c>
      <c r="AE135" s="26">
        <f t="shared" ref="AE135:AE198" si="38">IF(K135="내수",,IF(S135="미국",((AA135+AB135)*2/3)/W135*1000,(AA135+AB135)/W135*1000))</f>
        <v>0</v>
      </c>
      <c r="AF135" s="26">
        <f t="shared" ref="AF135:AF198" si="39">IF(K135="내수",,AC135/W135*1000)</f>
        <v>0</v>
      </c>
      <c r="AG135" s="26">
        <f t="shared" ref="AG135:AG198" si="40">IF(S135="미국", AE135/2,)</f>
        <v>0</v>
      </c>
      <c r="AH135" s="25">
        <f t="shared" ref="AH135:AH198" si="41">IF($K135="수출",AD135*$X135/1000000,)</f>
        <v>0</v>
      </c>
      <c r="AI135" s="25">
        <f t="shared" ref="AI135:AI198" si="42">IF($K135="수출",AE135*$X135/1000000,)</f>
        <v>0</v>
      </c>
      <c r="AJ135" s="25">
        <f t="shared" ref="AJ135:AJ198" si="43">IF($K135="수출",AF135*$X135/1000000,)</f>
        <v>0</v>
      </c>
      <c r="AK135" s="25">
        <f t="shared" ref="AK135:AK198" si="44">IF($K135="수출",AG135*$X135/1000000,)</f>
        <v>0</v>
      </c>
      <c r="BA135" s="34">
        <f t="shared" ref="BA135:BA198" si="45">AA135*X135</f>
        <v>3654080.21484375</v>
      </c>
      <c r="BB135" s="34">
        <f t="shared" ref="BB135:BB198" si="46">AB135*X135</f>
        <v>90580.479209899902</v>
      </c>
      <c r="BC135" s="34">
        <f t="shared" ref="BC135:BC198" si="47">AC135*X135</f>
        <v>89441.319473266602</v>
      </c>
    </row>
    <row r="136" spans="2:55">
      <c r="B136" s="2" t="s">
        <v>66</v>
      </c>
      <c r="C136" s="2" t="s">
        <v>67</v>
      </c>
      <c r="D136" s="2" t="s">
        <v>81</v>
      </c>
      <c r="E136" s="33" t="s">
        <v>79</v>
      </c>
      <c r="F136" s="2" t="s">
        <v>68</v>
      </c>
      <c r="G136" s="2" t="s">
        <v>80</v>
      </c>
      <c r="H136" s="2" t="s">
        <v>117</v>
      </c>
      <c r="I136" s="2" t="s">
        <v>117</v>
      </c>
      <c r="J136" s="2" t="s">
        <v>117</v>
      </c>
      <c r="K136" s="2" t="s">
        <v>69</v>
      </c>
      <c r="L136" s="2" t="s">
        <v>98</v>
      </c>
      <c r="M136" s="2" t="s">
        <v>87</v>
      </c>
      <c r="N136" s="2" t="s">
        <v>115</v>
      </c>
      <c r="O136" s="2" t="s">
        <v>117</v>
      </c>
      <c r="P136" s="2" t="s">
        <v>110</v>
      </c>
      <c r="Q136" s="31">
        <v>0</v>
      </c>
      <c r="R136" s="2" t="s">
        <v>117</v>
      </c>
      <c r="S136" s="2" t="s">
        <v>120</v>
      </c>
      <c r="T136" s="20">
        <v>46113</v>
      </c>
      <c r="U136" s="32">
        <v>2</v>
      </c>
      <c r="V136" s="32">
        <v>1</v>
      </c>
      <c r="W136" s="22">
        <f t="shared" si="34"/>
        <v>1</v>
      </c>
      <c r="X136" s="22">
        <v>8254</v>
      </c>
      <c r="Y136" s="23">
        <f t="shared" si="35"/>
        <v>8109.2250213623047</v>
      </c>
      <c r="Z136" s="24">
        <f t="shared" si="36"/>
        <v>982.46002197265625</v>
      </c>
      <c r="AA136" s="30">
        <v>805.58001708984375</v>
      </c>
      <c r="AB136" s="30">
        <v>111.08000183105469</v>
      </c>
      <c r="AC136" s="30">
        <v>65.800003051757813</v>
      </c>
      <c r="AD136" s="25">
        <f t="shared" si="37"/>
        <v>0</v>
      </c>
      <c r="AE136" s="26">
        <f t="shared" si="38"/>
        <v>0</v>
      </c>
      <c r="AF136" s="26">
        <f t="shared" si="39"/>
        <v>0</v>
      </c>
      <c r="AG136" s="26">
        <f t="shared" si="40"/>
        <v>0</v>
      </c>
      <c r="AH136" s="25">
        <f t="shared" si="41"/>
        <v>0</v>
      </c>
      <c r="AI136" s="25">
        <f t="shared" si="42"/>
        <v>0</v>
      </c>
      <c r="AJ136" s="25">
        <f t="shared" si="43"/>
        <v>0</v>
      </c>
      <c r="AK136" s="25">
        <f t="shared" si="44"/>
        <v>0</v>
      </c>
      <c r="BA136" s="34">
        <f t="shared" si="45"/>
        <v>6649257.4610595703</v>
      </c>
      <c r="BB136" s="34">
        <f t="shared" si="46"/>
        <v>916854.33511352539</v>
      </c>
      <c r="BC136" s="34">
        <f t="shared" si="47"/>
        <v>543113.22518920898</v>
      </c>
    </row>
    <row r="137" spans="2:55">
      <c r="B137" s="2" t="s">
        <v>129</v>
      </c>
      <c r="C137" s="2" t="s">
        <v>130</v>
      </c>
      <c r="D137" s="2" t="s">
        <v>81</v>
      </c>
      <c r="E137" s="33" t="s">
        <v>79</v>
      </c>
      <c r="F137" s="2" t="s">
        <v>68</v>
      </c>
      <c r="G137" s="28" t="s">
        <v>80</v>
      </c>
      <c r="H137" s="2" t="s">
        <v>117</v>
      </c>
      <c r="I137" s="2" t="s">
        <v>117</v>
      </c>
      <c r="J137" s="2" t="s">
        <v>117</v>
      </c>
      <c r="K137" s="2" t="s">
        <v>69</v>
      </c>
      <c r="L137" s="2" t="s">
        <v>127</v>
      </c>
      <c r="M137" s="2" t="s">
        <v>123</v>
      </c>
      <c r="N137" s="2" t="s">
        <v>115</v>
      </c>
      <c r="O137" s="2" t="s">
        <v>117</v>
      </c>
      <c r="P137" s="2" t="s">
        <v>111</v>
      </c>
      <c r="Q137" s="31"/>
      <c r="R137" s="2" t="s">
        <v>117</v>
      </c>
      <c r="S137" s="2" t="s">
        <v>120</v>
      </c>
      <c r="T137" s="20">
        <v>46113</v>
      </c>
      <c r="U137" s="32">
        <v>1</v>
      </c>
      <c r="V137" s="32">
        <v>1</v>
      </c>
      <c r="W137" s="22">
        <f t="shared" si="34"/>
        <v>1</v>
      </c>
      <c r="X137" s="22">
        <v>23820</v>
      </c>
      <c r="Y137" s="23">
        <f t="shared" si="35"/>
        <v>36188.057998466495</v>
      </c>
      <c r="Z137" s="24">
        <f t="shared" si="36"/>
        <v>1519.2299747467041</v>
      </c>
      <c r="AA137" s="30">
        <v>1439.0999755859375</v>
      </c>
      <c r="AB137" s="30">
        <v>20.129999160766602</v>
      </c>
      <c r="AC137" s="30">
        <v>60</v>
      </c>
      <c r="AD137" s="25">
        <f t="shared" si="37"/>
        <v>0</v>
      </c>
      <c r="AE137" s="26">
        <f t="shared" si="38"/>
        <v>0</v>
      </c>
      <c r="AF137" s="26">
        <f t="shared" si="39"/>
        <v>0</v>
      </c>
      <c r="AG137" s="26">
        <f t="shared" si="40"/>
        <v>0</v>
      </c>
      <c r="AH137" s="25">
        <f t="shared" si="41"/>
        <v>0</v>
      </c>
      <c r="AI137" s="25">
        <f t="shared" si="42"/>
        <v>0</v>
      </c>
      <c r="AJ137" s="25">
        <f t="shared" si="43"/>
        <v>0</v>
      </c>
      <c r="AK137" s="25">
        <f t="shared" si="44"/>
        <v>0</v>
      </c>
      <c r="BA137" s="34">
        <f t="shared" si="45"/>
        <v>34279361.418457031</v>
      </c>
      <c r="BB137" s="34">
        <f t="shared" si="46"/>
        <v>479496.58000946045</v>
      </c>
      <c r="BC137" s="34">
        <f t="shared" si="47"/>
        <v>1429200</v>
      </c>
    </row>
    <row r="138" spans="2:55">
      <c r="B138" s="2" t="s">
        <v>66</v>
      </c>
      <c r="C138" s="2" t="s">
        <v>67</v>
      </c>
      <c r="D138" s="2" t="s">
        <v>81</v>
      </c>
      <c r="E138" s="33" t="s">
        <v>79</v>
      </c>
      <c r="F138" s="2" t="s">
        <v>68</v>
      </c>
      <c r="G138" s="2" t="s">
        <v>80</v>
      </c>
      <c r="H138" s="2" t="s">
        <v>117</v>
      </c>
      <c r="I138" s="2" t="s">
        <v>117</v>
      </c>
      <c r="J138" s="2" t="s">
        <v>117</v>
      </c>
      <c r="K138" s="2" t="s">
        <v>82</v>
      </c>
      <c r="L138" s="2" t="s">
        <v>99</v>
      </c>
      <c r="M138" s="2" t="s">
        <v>92</v>
      </c>
      <c r="N138" s="2" t="s">
        <v>115</v>
      </c>
      <c r="O138" s="2" t="s">
        <v>117</v>
      </c>
      <c r="P138" s="2" t="s">
        <v>110</v>
      </c>
      <c r="Q138" s="31">
        <v>0</v>
      </c>
      <c r="R138" s="2" t="s">
        <v>117</v>
      </c>
      <c r="S138" s="2" t="s">
        <v>107</v>
      </c>
      <c r="T138" s="20">
        <v>46113</v>
      </c>
      <c r="U138" s="32">
        <v>2</v>
      </c>
      <c r="V138" s="32">
        <v>1</v>
      </c>
      <c r="W138" s="22">
        <f t="shared" si="34"/>
        <v>1300</v>
      </c>
      <c r="X138" s="22">
        <v>40155</v>
      </c>
      <c r="Y138" s="23">
        <f t="shared" si="35"/>
        <v>61515.454578323363</v>
      </c>
      <c r="Z138" s="24">
        <f t="shared" si="36"/>
        <v>1531.9500579833984</v>
      </c>
      <c r="AA138" s="30">
        <v>1288.81005859375</v>
      </c>
      <c r="AB138" s="30">
        <v>151.19000244140625</v>
      </c>
      <c r="AC138" s="30">
        <v>91.949996948242188</v>
      </c>
      <c r="AD138" s="25">
        <f t="shared" si="37"/>
        <v>1178.4231215256912</v>
      </c>
      <c r="AE138" s="26">
        <f t="shared" si="38"/>
        <v>1107.692354642428</v>
      </c>
      <c r="AF138" s="26">
        <f t="shared" si="39"/>
        <v>70.730766883263229</v>
      </c>
      <c r="AG138" s="26">
        <f t="shared" si="40"/>
        <v>0</v>
      </c>
      <c r="AH138" s="25">
        <f t="shared" si="41"/>
        <v>47.31958044486413</v>
      </c>
      <c r="AI138" s="25">
        <f t="shared" si="42"/>
        <v>44.479386500666692</v>
      </c>
      <c r="AJ138" s="25">
        <f t="shared" si="43"/>
        <v>2.8401939441974351</v>
      </c>
      <c r="AK138" s="25">
        <f t="shared" si="44"/>
        <v>0</v>
      </c>
      <c r="BA138" s="34">
        <f t="shared" si="45"/>
        <v>51752167.902832031</v>
      </c>
      <c r="BB138" s="34">
        <f t="shared" si="46"/>
        <v>6071034.548034668</v>
      </c>
      <c r="BC138" s="34">
        <f t="shared" si="47"/>
        <v>3692252.127456665</v>
      </c>
    </row>
    <row r="139" spans="2:55">
      <c r="B139" s="2" t="s">
        <v>66</v>
      </c>
      <c r="C139" s="2" t="s">
        <v>67</v>
      </c>
      <c r="D139" s="2" t="s">
        <v>81</v>
      </c>
      <c r="E139" s="2" t="s">
        <v>79</v>
      </c>
      <c r="F139" s="2" t="s">
        <v>68</v>
      </c>
      <c r="G139" s="2" t="s">
        <v>80</v>
      </c>
      <c r="H139" s="2" t="s">
        <v>117</v>
      </c>
      <c r="I139" s="2" t="s">
        <v>117</v>
      </c>
      <c r="J139" s="2" t="s">
        <v>117</v>
      </c>
      <c r="K139" s="2" t="s">
        <v>82</v>
      </c>
      <c r="L139" s="2" t="s">
        <v>99</v>
      </c>
      <c r="M139" s="2" t="s">
        <v>90</v>
      </c>
      <c r="N139" s="2" t="s">
        <v>115</v>
      </c>
      <c r="O139" s="2" t="s">
        <v>117</v>
      </c>
      <c r="P139" s="2" t="s">
        <v>111</v>
      </c>
      <c r="Q139" s="31">
        <v>0</v>
      </c>
      <c r="R139" s="2" t="s">
        <v>117</v>
      </c>
      <c r="S139" s="2" t="s">
        <v>101</v>
      </c>
      <c r="T139" s="20">
        <v>46113</v>
      </c>
      <c r="U139" s="32">
        <v>2</v>
      </c>
      <c r="V139" s="32">
        <v>1</v>
      </c>
      <c r="W139" s="22">
        <f t="shared" si="34"/>
        <v>1300</v>
      </c>
      <c r="X139" s="22">
        <v>10204</v>
      </c>
      <c r="Y139" s="23">
        <f t="shared" si="35"/>
        <v>14393.1500914917</v>
      </c>
      <c r="Z139" s="24">
        <f t="shared" si="36"/>
        <v>1410.5399932861328</v>
      </c>
      <c r="AA139" s="30">
        <v>1263.3699951171875</v>
      </c>
      <c r="AB139" s="30">
        <v>100.77999877929688</v>
      </c>
      <c r="AC139" s="30">
        <v>46.389999389648438</v>
      </c>
      <c r="AD139" s="25">
        <f t="shared" si="37"/>
        <v>1085.0307640662559</v>
      </c>
      <c r="AE139" s="26">
        <f t="shared" si="38"/>
        <v>699.56409943409449</v>
      </c>
      <c r="AF139" s="26">
        <f t="shared" si="39"/>
        <v>35.684614915114182</v>
      </c>
      <c r="AG139" s="26">
        <f t="shared" si="40"/>
        <v>349.78204971704724</v>
      </c>
      <c r="AH139" s="25">
        <f t="shared" si="41"/>
        <v>11.071653916532075</v>
      </c>
      <c r="AI139" s="25">
        <f t="shared" si="42"/>
        <v>7.1383520706254995</v>
      </c>
      <c r="AJ139" s="25">
        <f t="shared" si="43"/>
        <v>0.36412581059382515</v>
      </c>
      <c r="AK139" s="25">
        <f t="shared" si="44"/>
        <v>3.5691760353127497</v>
      </c>
      <c r="BA139" s="34">
        <f t="shared" si="45"/>
        <v>12891427.430175781</v>
      </c>
      <c r="BB139" s="34">
        <f t="shared" si="46"/>
        <v>1028359.1075439453</v>
      </c>
      <c r="BC139" s="34">
        <f t="shared" si="47"/>
        <v>473363.55377197266</v>
      </c>
    </row>
    <row r="140" spans="2:55">
      <c r="B140" s="2" t="s">
        <v>66</v>
      </c>
      <c r="C140" s="2" t="s">
        <v>67</v>
      </c>
      <c r="D140" s="2" t="s">
        <v>81</v>
      </c>
      <c r="E140" s="2" t="s">
        <v>79</v>
      </c>
      <c r="F140" s="2" t="s">
        <v>68</v>
      </c>
      <c r="G140" s="2" t="s">
        <v>80</v>
      </c>
      <c r="H140" s="2" t="s">
        <v>117</v>
      </c>
      <c r="I140" s="2" t="s">
        <v>117</v>
      </c>
      <c r="J140" s="2" t="s">
        <v>117</v>
      </c>
      <c r="K140" s="2" t="s">
        <v>82</v>
      </c>
      <c r="L140" s="2" t="s">
        <v>99</v>
      </c>
      <c r="M140" s="2" t="s">
        <v>90</v>
      </c>
      <c r="N140" s="2" t="s">
        <v>115</v>
      </c>
      <c r="O140" s="2" t="s">
        <v>117</v>
      </c>
      <c r="P140" s="2" t="s">
        <v>111</v>
      </c>
      <c r="Q140" s="31">
        <v>0</v>
      </c>
      <c r="R140" s="2" t="s">
        <v>117</v>
      </c>
      <c r="S140" s="2" t="s">
        <v>102</v>
      </c>
      <c r="T140" s="20">
        <v>46113</v>
      </c>
      <c r="U140" s="32">
        <v>2</v>
      </c>
      <c r="V140" s="32">
        <v>1</v>
      </c>
      <c r="W140" s="22">
        <f t="shared" si="34"/>
        <v>1300</v>
      </c>
      <c r="X140" s="22">
        <v>35008</v>
      </c>
      <c r="Y140" s="23">
        <f t="shared" si="35"/>
        <v>36278.440051574704</v>
      </c>
      <c r="Z140" s="24">
        <f t="shared" si="36"/>
        <v>1036.2899923324585</v>
      </c>
      <c r="AA140" s="30">
        <v>762.82000732421875</v>
      </c>
      <c r="AB140" s="30">
        <v>262.6099853515625</v>
      </c>
      <c r="AC140" s="30">
        <v>10.859999656677246</v>
      </c>
      <c r="AD140" s="25">
        <f t="shared" si="37"/>
        <v>797.14614794804504</v>
      </c>
      <c r="AE140" s="26">
        <f t="shared" si="38"/>
        <v>788.79230205829333</v>
      </c>
      <c r="AF140" s="26">
        <f t="shared" si="39"/>
        <v>8.353845889751728</v>
      </c>
      <c r="AG140" s="26">
        <f t="shared" si="40"/>
        <v>0</v>
      </c>
      <c r="AH140" s="25">
        <f t="shared" si="41"/>
        <v>27.906492347365159</v>
      </c>
      <c r="AI140" s="25">
        <f t="shared" si="42"/>
        <v>27.614040910456733</v>
      </c>
      <c r="AJ140" s="25">
        <f t="shared" si="43"/>
        <v>0.29245143690842851</v>
      </c>
      <c r="AK140" s="25">
        <f t="shared" si="44"/>
        <v>0</v>
      </c>
      <c r="BA140" s="34">
        <f t="shared" si="45"/>
        <v>26704802.81640625</v>
      </c>
      <c r="BB140" s="34">
        <f t="shared" si="46"/>
        <v>9193450.3671875</v>
      </c>
      <c r="BC140" s="34">
        <f t="shared" si="47"/>
        <v>380186.86798095703</v>
      </c>
    </row>
    <row r="141" spans="2:55">
      <c r="B141" s="2" t="s">
        <v>66</v>
      </c>
      <c r="C141" s="2" t="s">
        <v>67</v>
      </c>
      <c r="D141" s="2" t="s">
        <v>81</v>
      </c>
      <c r="E141" s="2" t="s">
        <v>79</v>
      </c>
      <c r="F141" s="2" t="s">
        <v>68</v>
      </c>
      <c r="G141" s="2" t="s">
        <v>80</v>
      </c>
      <c r="H141" s="2" t="s">
        <v>117</v>
      </c>
      <c r="I141" s="2" t="s">
        <v>117</v>
      </c>
      <c r="J141" s="2" t="s">
        <v>117</v>
      </c>
      <c r="K141" s="2" t="s">
        <v>82</v>
      </c>
      <c r="L141" s="2" t="s">
        <v>99</v>
      </c>
      <c r="M141" s="2" t="s">
        <v>90</v>
      </c>
      <c r="N141" s="2" t="s">
        <v>115</v>
      </c>
      <c r="O141" s="2" t="s">
        <v>117</v>
      </c>
      <c r="P141" s="2" t="s">
        <v>111</v>
      </c>
      <c r="Q141" s="31">
        <v>0</v>
      </c>
      <c r="R141" s="2" t="s">
        <v>117</v>
      </c>
      <c r="S141" s="2" t="s">
        <v>139</v>
      </c>
      <c r="T141" s="20">
        <v>46113</v>
      </c>
      <c r="U141" s="32">
        <v>2</v>
      </c>
      <c r="V141" s="32">
        <v>1</v>
      </c>
      <c r="W141" s="22">
        <f t="shared" si="34"/>
        <v>1300</v>
      </c>
      <c r="X141" s="22">
        <v>11359</v>
      </c>
      <c r="Y141" s="23">
        <f t="shared" si="35"/>
        <v>13567.189620040655</v>
      </c>
      <c r="Z141" s="24">
        <f t="shared" si="36"/>
        <v>1194.4000017642975</v>
      </c>
      <c r="AA141" s="30">
        <v>991.1199951171875</v>
      </c>
      <c r="AB141" s="30">
        <v>200.96000671386719</v>
      </c>
      <c r="AC141" s="30">
        <v>2.3199999332427979</v>
      </c>
      <c r="AD141" s="25">
        <f t="shared" si="37"/>
        <v>918.76923212638269</v>
      </c>
      <c r="AE141" s="26">
        <f t="shared" si="38"/>
        <v>916.98461679311902</v>
      </c>
      <c r="AF141" s="26">
        <f t="shared" si="39"/>
        <v>1.7846153332636907</v>
      </c>
      <c r="AG141" s="26">
        <f t="shared" si="40"/>
        <v>0</v>
      </c>
      <c r="AH141" s="25">
        <f t="shared" si="41"/>
        <v>10.436299707723581</v>
      </c>
      <c r="AI141" s="25">
        <f t="shared" si="42"/>
        <v>10.41602826215304</v>
      </c>
      <c r="AJ141" s="25">
        <f t="shared" si="43"/>
        <v>2.0271445570542262E-2</v>
      </c>
      <c r="AK141" s="25">
        <f t="shared" si="44"/>
        <v>0</v>
      </c>
      <c r="BA141" s="34">
        <f t="shared" si="45"/>
        <v>11258132.024536133</v>
      </c>
      <c r="BB141" s="34">
        <f t="shared" si="46"/>
        <v>2282704.7162628174</v>
      </c>
      <c r="BC141" s="34">
        <f t="shared" si="47"/>
        <v>26352.879241704941</v>
      </c>
    </row>
    <row r="142" spans="2:55">
      <c r="B142" s="2" t="s">
        <v>66</v>
      </c>
      <c r="C142" s="2" t="s">
        <v>67</v>
      </c>
      <c r="D142" s="2" t="s">
        <v>81</v>
      </c>
      <c r="E142" s="2" t="s">
        <v>79</v>
      </c>
      <c r="F142" s="2" t="s">
        <v>68</v>
      </c>
      <c r="G142" s="2" t="s">
        <v>80</v>
      </c>
      <c r="H142" s="2" t="s">
        <v>117</v>
      </c>
      <c r="I142" s="2" t="s">
        <v>117</v>
      </c>
      <c r="J142" s="2" t="s">
        <v>117</v>
      </c>
      <c r="K142" s="2" t="s">
        <v>82</v>
      </c>
      <c r="L142" s="2" t="s">
        <v>99</v>
      </c>
      <c r="M142" s="2" t="s">
        <v>90</v>
      </c>
      <c r="N142" s="2" t="s">
        <v>115</v>
      </c>
      <c r="O142" s="2" t="s">
        <v>117</v>
      </c>
      <c r="P142" s="2" t="s">
        <v>111</v>
      </c>
      <c r="Q142" s="31">
        <v>0</v>
      </c>
      <c r="R142" s="2" t="s">
        <v>117</v>
      </c>
      <c r="S142" s="2" t="s">
        <v>106</v>
      </c>
      <c r="T142" s="20">
        <v>46113</v>
      </c>
      <c r="U142" s="32">
        <v>2</v>
      </c>
      <c r="V142" s="32">
        <v>1</v>
      </c>
      <c r="W142" s="22">
        <f t="shared" si="34"/>
        <v>1300</v>
      </c>
      <c r="X142" s="22">
        <v>41958</v>
      </c>
      <c r="Y142" s="23">
        <f t="shared" si="35"/>
        <v>58174.348050624845</v>
      </c>
      <c r="Z142" s="24">
        <f t="shared" si="36"/>
        <v>1386.4900150299072</v>
      </c>
      <c r="AA142" s="30">
        <v>1268.6400146484375</v>
      </c>
      <c r="AB142" s="30">
        <v>99.180000305175781</v>
      </c>
      <c r="AC142" s="30">
        <v>18.670000076293945</v>
      </c>
      <c r="AD142" s="25">
        <f t="shared" si="37"/>
        <v>1066.5307807922363</v>
      </c>
      <c r="AE142" s="26">
        <f t="shared" si="38"/>
        <v>1052.1692422720103</v>
      </c>
      <c r="AF142" s="26">
        <f t="shared" si="39"/>
        <v>14.361538520226112</v>
      </c>
      <c r="AG142" s="26">
        <f t="shared" si="40"/>
        <v>0</v>
      </c>
      <c r="AH142" s="25">
        <f t="shared" si="41"/>
        <v>44.749498500480655</v>
      </c>
      <c r="AI142" s="25">
        <f t="shared" si="42"/>
        <v>44.146917067249007</v>
      </c>
      <c r="AJ142" s="25">
        <f t="shared" si="43"/>
        <v>0.60258143323164726</v>
      </c>
      <c r="AK142" s="25">
        <f t="shared" si="44"/>
        <v>0</v>
      </c>
      <c r="BA142" s="34">
        <f t="shared" si="45"/>
        <v>53229597.734619141</v>
      </c>
      <c r="BB142" s="34">
        <f t="shared" si="46"/>
        <v>4161394.4528045654</v>
      </c>
      <c r="BC142" s="34">
        <f t="shared" si="47"/>
        <v>783355.86320114136</v>
      </c>
    </row>
    <row r="143" spans="2:55">
      <c r="B143" s="2" t="s">
        <v>66</v>
      </c>
      <c r="C143" s="2" t="s">
        <v>67</v>
      </c>
      <c r="D143" s="2" t="s">
        <v>81</v>
      </c>
      <c r="E143" s="2" t="s">
        <v>79</v>
      </c>
      <c r="F143" s="2" t="s">
        <v>68</v>
      </c>
      <c r="G143" s="2" t="s">
        <v>80</v>
      </c>
      <c r="H143" s="2" t="s">
        <v>117</v>
      </c>
      <c r="I143" s="2" t="s">
        <v>117</v>
      </c>
      <c r="J143" s="2" t="s">
        <v>117</v>
      </c>
      <c r="K143" s="2" t="s">
        <v>82</v>
      </c>
      <c r="L143" s="2" t="s">
        <v>99</v>
      </c>
      <c r="M143" s="2" t="s">
        <v>90</v>
      </c>
      <c r="N143" s="2" t="s">
        <v>115</v>
      </c>
      <c r="O143" s="2" t="s">
        <v>117</v>
      </c>
      <c r="P143" s="2" t="s">
        <v>111</v>
      </c>
      <c r="Q143" s="31">
        <v>0</v>
      </c>
      <c r="R143" s="2" t="s">
        <v>117</v>
      </c>
      <c r="S143" s="2" t="s">
        <v>105</v>
      </c>
      <c r="T143" s="20">
        <v>46113</v>
      </c>
      <c r="U143" s="32">
        <v>2</v>
      </c>
      <c r="V143" s="32">
        <v>1</v>
      </c>
      <c r="W143" s="22">
        <f t="shared" si="34"/>
        <v>1300</v>
      </c>
      <c r="X143" s="22">
        <v>8072</v>
      </c>
      <c r="Y143" s="23">
        <f t="shared" si="35"/>
        <v>10841.180284896851</v>
      </c>
      <c r="Z143" s="24">
        <f t="shared" si="36"/>
        <v>1343.0599956512451</v>
      </c>
      <c r="AA143" s="30">
        <v>1144.6199951171875</v>
      </c>
      <c r="AB143" s="30">
        <v>183.11000061035156</v>
      </c>
      <c r="AC143" s="30">
        <v>15.329999923706055</v>
      </c>
      <c r="AD143" s="25">
        <f t="shared" si="37"/>
        <v>1033.1230735778809</v>
      </c>
      <c r="AE143" s="26">
        <f t="shared" si="38"/>
        <v>1021.3307659442607</v>
      </c>
      <c r="AF143" s="26">
        <f t="shared" si="39"/>
        <v>11.792307633620043</v>
      </c>
      <c r="AG143" s="26">
        <f t="shared" si="40"/>
        <v>0</v>
      </c>
      <c r="AH143" s="25">
        <f t="shared" si="41"/>
        <v>8.339369449920655</v>
      </c>
      <c r="AI143" s="25">
        <f t="shared" si="42"/>
        <v>8.2441819427020722</v>
      </c>
      <c r="AJ143" s="25">
        <f t="shared" si="43"/>
        <v>9.5187507218580977E-2</v>
      </c>
      <c r="AK143" s="25">
        <f t="shared" si="44"/>
        <v>0</v>
      </c>
      <c r="BA143" s="34">
        <f t="shared" si="45"/>
        <v>9239372.6005859375</v>
      </c>
      <c r="BB143" s="34">
        <f t="shared" si="46"/>
        <v>1478063.9249267578</v>
      </c>
      <c r="BC143" s="34">
        <f t="shared" si="47"/>
        <v>123743.75938415527</v>
      </c>
    </row>
    <row r="144" spans="2:55">
      <c r="B144" s="2" t="s">
        <v>66</v>
      </c>
      <c r="C144" s="2" t="s">
        <v>67</v>
      </c>
      <c r="D144" s="2" t="s">
        <v>81</v>
      </c>
      <c r="E144" s="2" t="s">
        <v>79</v>
      </c>
      <c r="F144" s="2" t="s">
        <v>68</v>
      </c>
      <c r="G144" s="2" t="s">
        <v>80</v>
      </c>
      <c r="H144" s="2" t="s">
        <v>117</v>
      </c>
      <c r="I144" s="2" t="s">
        <v>117</v>
      </c>
      <c r="J144" s="2" t="s">
        <v>117</v>
      </c>
      <c r="K144" s="2" t="s">
        <v>82</v>
      </c>
      <c r="L144" s="2" t="s">
        <v>99</v>
      </c>
      <c r="M144" s="2" t="s">
        <v>90</v>
      </c>
      <c r="N144" s="2" t="s">
        <v>115</v>
      </c>
      <c r="O144" s="2" t="s">
        <v>117</v>
      </c>
      <c r="P144" s="2" t="s">
        <v>111</v>
      </c>
      <c r="Q144" s="31">
        <v>0</v>
      </c>
      <c r="R144" s="2" t="s">
        <v>117</v>
      </c>
      <c r="S144" s="2" t="s">
        <v>107</v>
      </c>
      <c r="T144" s="20">
        <v>46113</v>
      </c>
      <c r="U144" s="32">
        <v>2</v>
      </c>
      <c r="V144" s="32">
        <v>1</v>
      </c>
      <c r="W144" s="22">
        <f t="shared" si="34"/>
        <v>1300</v>
      </c>
      <c r="X144" s="22">
        <v>4684</v>
      </c>
      <c r="Y144" s="23">
        <f t="shared" si="35"/>
        <v>6258.1050911026005</v>
      </c>
      <c r="Z144" s="24">
        <f t="shared" si="36"/>
        <v>1336.0600109100342</v>
      </c>
      <c r="AA144" s="30">
        <v>1109.760009765625</v>
      </c>
      <c r="AB144" s="30">
        <v>219.47000122070313</v>
      </c>
      <c r="AC144" s="30">
        <v>6.8299999237060547</v>
      </c>
      <c r="AD144" s="25">
        <f t="shared" si="37"/>
        <v>1027.7384699307956</v>
      </c>
      <c r="AE144" s="26">
        <f t="shared" si="38"/>
        <v>1022.4846238356371</v>
      </c>
      <c r="AF144" s="26">
        <f t="shared" si="39"/>
        <v>5.2538460951585035</v>
      </c>
      <c r="AG144" s="26">
        <f t="shared" si="40"/>
        <v>0</v>
      </c>
      <c r="AH144" s="25">
        <f t="shared" si="41"/>
        <v>4.8139269931558459</v>
      </c>
      <c r="AI144" s="25">
        <f t="shared" si="42"/>
        <v>4.7893179780461237</v>
      </c>
      <c r="AJ144" s="25">
        <f t="shared" si="43"/>
        <v>2.4609015109722431E-2</v>
      </c>
      <c r="AK144" s="25">
        <f t="shared" si="44"/>
        <v>0</v>
      </c>
      <c r="BA144" s="34">
        <f t="shared" si="45"/>
        <v>5198115.8857421875</v>
      </c>
      <c r="BB144" s="34">
        <f t="shared" si="46"/>
        <v>1027997.4857177734</v>
      </c>
      <c r="BC144" s="34">
        <f t="shared" si="47"/>
        <v>31991.71964263916</v>
      </c>
    </row>
    <row r="145" spans="2:55">
      <c r="B145" s="2" t="s">
        <v>66</v>
      </c>
      <c r="C145" s="2" t="s">
        <v>67</v>
      </c>
      <c r="D145" s="2" t="s">
        <v>81</v>
      </c>
      <c r="E145" s="2" t="s">
        <v>79</v>
      </c>
      <c r="F145" s="2" t="s">
        <v>68</v>
      </c>
      <c r="G145" s="2" t="s">
        <v>80</v>
      </c>
      <c r="H145" s="2" t="s">
        <v>117</v>
      </c>
      <c r="I145" s="2" t="s">
        <v>117</v>
      </c>
      <c r="J145" s="2" t="s">
        <v>117</v>
      </c>
      <c r="K145" s="2" t="s">
        <v>82</v>
      </c>
      <c r="L145" s="2" t="s">
        <v>99</v>
      </c>
      <c r="M145" s="2" t="s">
        <v>90</v>
      </c>
      <c r="N145" s="2" t="s">
        <v>115</v>
      </c>
      <c r="O145" s="2" t="s">
        <v>117</v>
      </c>
      <c r="P145" s="2" t="s">
        <v>111</v>
      </c>
      <c r="Q145" s="31">
        <v>0</v>
      </c>
      <c r="R145" s="2" t="s">
        <v>117</v>
      </c>
      <c r="S145" s="2" t="s">
        <v>140</v>
      </c>
      <c r="T145" s="20">
        <v>46113</v>
      </c>
      <c r="U145" s="32">
        <v>2</v>
      </c>
      <c r="V145" s="32">
        <v>1</v>
      </c>
      <c r="W145" s="22">
        <f t="shared" si="34"/>
        <v>1300</v>
      </c>
      <c r="X145" s="22">
        <v>38159</v>
      </c>
      <c r="Y145" s="23">
        <f t="shared" si="35"/>
        <v>56906.516816452029</v>
      </c>
      <c r="Z145" s="24">
        <f t="shared" si="36"/>
        <v>1491.3000030517578</v>
      </c>
      <c r="AA145" s="30">
        <v>1108.6300048828125</v>
      </c>
      <c r="AB145" s="30">
        <v>289.3699951171875</v>
      </c>
      <c r="AC145" s="30">
        <v>93.300003051757813</v>
      </c>
      <c r="AD145" s="25">
        <f t="shared" si="37"/>
        <v>1147.1538485013523</v>
      </c>
      <c r="AE145" s="26">
        <f t="shared" si="38"/>
        <v>1075.3846153846155</v>
      </c>
      <c r="AF145" s="26">
        <f t="shared" si="39"/>
        <v>71.769233116736771</v>
      </c>
      <c r="AG145" s="26">
        <f t="shared" si="40"/>
        <v>0</v>
      </c>
      <c r="AH145" s="25">
        <f t="shared" si="41"/>
        <v>43.774243704963105</v>
      </c>
      <c r="AI145" s="25">
        <f t="shared" si="42"/>
        <v>41.035601538461542</v>
      </c>
      <c r="AJ145" s="25">
        <f t="shared" si="43"/>
        <v>2.7386421665015583</v>
      </c>
      <c r="AK145" s="25">
        <f t="shared" si="44"/>
        <v>0</v>
      </c>
      <c r="BA145" s="34">
        <f t="shared" si="45"/>
        <v>42304212.356323242</v>
      </c>
      <c r="BB145" s="34">
        <f t="shared" si="46"/>
        <v>11042069.643676758</v>
      </c>
      <c r="BC145" s="34">
        <f t="shared" si="47"/>
        <v>3560234.8164520264</v>
      </c>
    </row>
    <row r="146" spans="2:55">
      <c r="B146" s="2" t="s">
        <v>66</v>
      </c>
      <c r="C146" s="2" t="s">
        <v>67</v>
      </c>
      <c r="D146" s="2" t="s">
        <v>81</v>
      </c>
      <c r="E146" s="2" t="s">
        <v>79</v>
      </c>
      <c r="F146" s="2" t="s">
        <v>68</v>
      </c>
      <c r="G146" s="2" t="s">
        <v>80</v>
      </c>
      <c r="H146" s="2" t="s">
        <v>117</v>
      </c>
      <c r="I146" s="2" t="s">
        <v>117</v>
      </c>
      <c r="J146" s="2" t="s">
        <v>117</v>
      </c>
      <c r="K146" s="2" t="s">
        <v>82</v>
      </c>
      <c r="L146" s="2" t="s">
        <v>99</v>
      </c>
      <c r="M146" s="2" t="s">
        <v>90</v>
      </c>
      <c r="N146" s="2" t="s">
        <v>115</v>
      </c>
      <c r="O146" s="2" t="s">
        <v>117</v>
      </c>
      <c r="P146" s="2" t="s">
        <v>111</v>
      </c>
      <c r="Q146" s="31">
        <v>0</v>
      </c>
      <c r="R146" s="2" t="s">
        <v>117</v>
      </c>
      <c r="S146" s="2" t="s">
        <v>109</v>
      </c>
      <c r="T146" s="20">
        <v>46113</v>
      </c>
      <c r="U146" s="32">
        <v>2</v>
      </c>
      <c r="V146" s="32">
        <v>1</v>
      </c>
      <c r="W146" s="22">
        <f t="shared" si="34"/>
        <v>1300</v>
      </c>
      <c r="X146" s="22">
        <v>36392</v>
      </c>
      <c r="Y146" s="23">
        <f t="shared" si="35"/>
        <v>36429.482570274355</v>
      </c>
      <c r="Z146" s="24">
        <f t="shared" si="36"/>
        <v>1001.0299673080444</v>
      </c>
      <c r="AA146" s="30">
        <v>852.219970703125</v>
      </c>
      <c r="AB146" s="30">
        <v>136.69999694824219</v>
      </c>
      <c r="AC146" s="30">
        <v>12.109999656677246</v>
      </c>
      <c r="AD146" s="25">
        <f t="shared" si="37"/>
        <v>770.02305177541882</v>
      </c>
      <c r="AE146" s="26">
        <f t="shared" si="38"/>
        <v>760.70766742412866</v>
      </c>
      <c r="AF146" s="26">
        <f t="shared" si="39"/>
        <v>9.3153843512901897</v>
      </c>
      <c r="AG146" s="26">
        <f t="shared" si="40"/>
        <v>0</v>
      </c>
      <c r="AH146" s="25">
        <f t="shared" si="41"/>
        <v>28.022678900211041</v>
      </c>
      <c r="AI146" s="25">
        <f t="shared" si="42"/>
        <v>27.683673432898889</v>
      </c>
      <c r="AJ146" s="25">
        <f t="shared" si="43"/>
        <v>0.33900546731215253</v>
      </c>
      <c r="AK146" s="25">
        <f t="shared" si="44"/>
        <v>0</v>
      </c>
      <c r="BA146" s="34">
        <f t="shared" si="45"/>
        <v>31013989.173828125</v>
      </c>
      <c r="BB146" s="34">
        <f t="shared" si="46"/>
        <v>4974786.2889404297</v>
      </c>
      <c r="BC146" s="34">
        <f t="shared" si="47"/>
        <v>440707.10750579834</v>
      </c>
    </row>
    <row r="147" spans="2:55">
      <c r="B147" s="2" t="s">
        <v>66</v>
      </c>
      <c r="C147" s="2" t="s">
        <v>67</v>
      </c>
      <c r="D147" s="2" t="s">
        <v>81</v>
      </c>
      <c r="E147" s="2" t="s">
        <v>79</v>
      </c>
      <c r="F147" s="2" t="s">
        <v>68</v>
      </c>
      <c r="G147" s="2" t="s">
        <v>80</v>
      </c>
      <c r="H147" s="2" t="s">
        <v>117</v>
      </c>
      <c r="I147" s="2" t="s">
        <v>117</v>
      </c>
      <c r="J147" s="2" t="s">
        <v>117</v>
      </c>
      <c r="K147" s="2" t="s">
        <v>82</v>
      </c>
      <c r="L147" s="2" t="s">
        <v>99</v>
      </c>
      <c r="M147" s="2" t="s">
        <v>90</v>
      </c>
      <c r="N147" s="2" t="s">
        <v>115</v>
      </c>
      <c r="O147" s="2" t="s">
        <v>117</v>
      </c>
      <c r="P147" s="2" t="s">
        <v>111</v>
      </c>
      <c r="Q147" s="31">
        <v>0</v>
      </c>
      <c r="R147" s="2" t="s">
        <v>117</v>
      </c>
      <c r="S147" s="2" t="s">
        <v>108</v>
      </c>
      <c r="T147" s="20">
        <v>46113</v>
      </c>
      <c r="U147" s="32">
        <v>2</v>
      </c>
      <c r="V147" s="32">
        <v>1</v>
      </c>
      <c r="W147" s="22">
        <f t="shared" si="34"/>
        <v>1300</v>
      </c>
      <c r="X147" s="22">
        <v>21470</v>
      </c>
      <c r="Y147" s="23">
        <f t="shared" si="35"/>
        <v>26544.864634656908</v>
      </c>
      <c r="Z147" s="24">
        <f t="shared" si="36"/>
        <v>1236.3700342178345</v>
      </c>
      <c r="AA147" s="30">
        <v>1130.4100341796875</v>
      </c>
      <c r="AB147" s="30">
        <v>91.569999694824219</v>
      </c>
      <c r="AC147" s="30">
        <v>14.390000343322754</v>
      </c>
      <c r="AD147" s="25">
        <f t="shared" si="37"/>
        <v>951.05387247525721</v>
      </c>
      <c r="AE147" s="26">
        <f t="shared" si="38"/>
        <v>939.98464144193201</v>
      </c>
      <c r="AF147" s="26">
        <f t="shared" si="39"/>
        <v>11.069231033325195</v>
      </c>
      <c r="AG147" s="26">
        <f t="shared" si="40"/>
        <v>0</v>
      </c>
      <c r="AH147" s="25">
        <f t="shared" si="41"/>
        <v>20.419126642043771</v>
      </c>
      <c r="AI147" s="25">
        <f t="shared" si="42"/>
        <v>20.181470251758281</v>
      </c>
      <c r="AJ147" s="25">
        <f t="shared" si="43"/>
        <v>0.23765639028549193</v>
      </c>
      <c r="AK147" s="25">
        <f t="shared" si="44"/>
        <v>0</v>
      </c>
      <c r="BA147" s="34">
        <f t="shared" si="45"/>
        <v>24269903.433837891</v>
      </c>
      <c r="BB147" s="34">
        <f t="shared" si="46"/>
        <v>1966007.893447876</v>
      </c>
      <c r="BC147" s="34">
        <f t="shared" si="47"/>
        <v>308953.30737113953</v>
      </c>
    </row>
    <row r="148" spans="2:55">
      <c r="B148" s="2" t="s">
        <v>66</v>
      </c>
      <c r="C148" s="2" t="s">
        <v>67</v>
      </c>
      <c r="D148" s="2" t="s">
        <v>81</v>
      </c>
      <c r="E148" s="2" t="s">
        <v>79</v>
      </c>
      <c r="F148" s="2" t="s">
        <v>68</v>
      </c>
      <c r="G148" s="2" t="s">
        <v>80</v>
      </c>
      <c r="H148" s="2" t="s">
        <v>117</v>
      </c>
      <c r="I148" s="2" t="s">
        <v>117</v>
      </c>
      <c r="J148" s="2" t="s">
        <v>117</v>
      </c>
      <c r="K148" s="2" t="s">
        <v>82</v>
      </c>
      <c r="L148" s="2" t="s">
        <v>99</v>
      </c>
      <c r="M148" s="2" t="s">
        <v>90</v>
      </c>
      <c r="N148" s="2" t="s">
        <v>115</v>
      </c>
      <c r="O148" s="2" t="s">
        <v>117</v>
      </c>
      <c r="P148" s="2" t="s">
        <v>111</v>
      </c>
      <c r="Q148" s="31">
        <v>0</v>
      </c>
      <c r="R148" s="2" t="s">
        <v>117</v>
      </c>
      <c r="S148" s="2" t="s">
        <v>103</v>
      </c>
      <c r="T148" s="20">
        <v>46113</v>
      </c>
      <c r="U148" s="32">
        <v>2</v>
      </c>
      <c r="V148" s="32">
        <v>1</v>
      </c>
      <c r="W148" s="22">
        <f t="shared" si="34"/>
        <v>1300</v>
      </c>
      <c r="X148" s="22">
        <v>44823</v>
      </c>
      <c r="Y148" s="23">
        <f t="shared" si="35"/>
        <v>74401.698452339173</v>
      </c>
      <c r="Z148" s="24">
        <f t="shared" si="36"/>
        <v>1659.900016784668</v>
      </c>
      <c r="AA148" s="30">
        <v>1324.52001953125</v>
      </c>
      <c r="AB148" s="30">
        <v>268.77999877929688</v>
      </c>
      <c r="AC148" s="30">
        <v>66.599998474121094</v>
      </c>
      <c r="AD148" s="25">
        <f t="shared" si="37"/>
        <v>1276.8461667574368</v>
      </c>
      <c r="AE148" s="26">
        <f t="shared" si="38"/>
        <v>1225.6153987004207</v>
      </c>
      <c r="AF148" s="26">
        <f t="shared" si="39"/>
        <v>51.230768057016228</v>
      </c>
      <c r="AG148" s="26">
        <f t="shared" si="40"/>
        <v>0</v>
      </c>
      <c r="AH148" s="25">
        <f t="shared" si="41"/>
        <v>57.232075732568589</v>
      </c>
      <c r="AI148" s="25">
        <f t="shared" si="42"/>
        <v>54.93575901594896</v>
      </c>
      <c r="AJ148" s="25">
        <f t="shared" si="43"/>
        <v>2.2963167166196383</v>
      </c>
      <c r="AK148" s="25">
        <f t="shared" si="44"/>
        <v>0</v>
      </c>
      <c r="BA148" s="34">
        <f t="shared" si="45"/>
        <v>59368960.835449219</v>
      </c>
      <c r="BB148" s="34">
        <f t="shared" si="46"/>
        <v>12047525.885284424</v>
      </c>
      <c r="BC148" s="34">
        <f t="shared" si="47"/>
        <v>2985211.7316055298</v>
      </c>
    </row>
    <row r="149" spans="2:55">
      <c r="B149" s="2" t="s">
        <v>66</v>
      </c>
      <c r="C149" s="2" t="s">
        <v>67</v>
      </c>
      <c r="D149" s="2" t="s">
        <v>81</v>
      </c>
      <c r="E149" s="2" t="s">
        <v>79</v>
      </c>
      <c r="F149" s="2" t="s">
        <v>68</v>
      </c>
      <c r="G149" s="2" t="s">
        <v>80</v>
      </c>
      <c r="H149" s="2" t="s">
        <v>117</v>
      </c>
      <c r="I149" s="2" t="s">
        <v>117</v>
      </c>
      <c r="J149" s="2" t="s">
        <v>117</v>
      </c>
      <c r="K149" s="2" t="s">
        <v>82</v>
      </c>
      <c r="L149" s="2" t="s">
        <v>99</v>
      </c>
      <c r="M149" s="2" t="s">
        <v>90</v>
      </c>
      <c r="N149" s="2" t="s">
        <v>115</v>
      </c>
      <c r="O149" s="2" t="s">
        <v>117</v>
      </c>
      <c r="P149" s="2" t="s">
        <v>111</v>
      </c>
      <c r="Q149" s="31">
        <v>0</v>
      </c>
      <c r="R149" s="2" t="s">
        <v>117</v>
      </c>
      <c r="S149" s="2" t="s">
        <v>104</v>
      </c>
      <c r="T149" s="20">
        <v>46113</v>
      </c>
      <c r="U149" s="32">
        <v>2</v>
      </c>
      <c r="V149" s="32">
        <v>1</v>
      </c>
      <c r="W149" s="22">
        <f t="shared" si="34"/>
        <v>1300</v>
      </c>
      <c r="X149" s="22">
        <v>34884</v>
      </c>
      <c r="Y149" s="23">
        <f t="shared" si="35"/>
        <v>46676.884422546384</v>
      </c>
      <c r="Z149" s="24">
        <f t="shared" si="36"/>
        <v>1338.0599822998047</v>
      </c>
      <c r="AA149" s="30">
        <v>1119.739990234375</v>
      </c>
      <c r="AB149" s="30">
        <v>141.22999572753906</v>
      </c>
      <c r="AC149" s="30">
        <v>77.089996337890625</v>
      </c>
      <c r="AD149" s="25">
        <f t="shared" si="37"/>
        <v>1029.2769094613882</v>
      </c>
      <c r="AE149" s="26">
        <f t="shared" si="38"/>
        <v>969.97691227839539</v>
      </c>
      <c r="AF149" s="26">
        <f t="shared" si="39"/>
        <v>59.29999718299279</v>
      </c>
      <c r="AG149" s="26">
        <f t="shared" si="40"/>
        <v>0</v>
      </c>
      <c r="AH149" s="25">
        <f t="shared" si="41"/>
        <v>35.905295709651071</v>
      </c>
      <c r="AI149" s="25">
        <f t="shared" si="42"/>
        <v>33.836674607919541</v>
      </c>
      <c r="AJ149" s="25">
        <f t="shared" si="43"/>
        <v>2.0686211017315204</v>
      </c>
      <c r="AK149" s="25">
        <f t="shared" si="44"/>
        <v>0</v>
      </c>
      <c r="BA149" s="34">
        <f t="shared" si="45"/>
        <v>39061009.819335938</v>
      </c>
      <c r="BB149" s="34">
        <f t="shared" si="46"/>
        <v>4926667.1709594727</v>
      </c>
      <c r="BC149" s="34">
        <f t="shared" si="47"/>
        <v>2689207.4322509766</v>
      </c>
    </row>
    <row r="150" spans="2:55">
      <c r="B150" s="2" t="s">
        <v>66</v>
      </c>
      <c r="C150" s="2" t="s">
        <v>67</v>
      </c>
      <c r="D150" s="2" t="s">
        <v>81</v>
      </c>
      <c r="E150" s="2" t="s">
        <v>79</v>
      </c>
      <c r="F150" s="2" t="s">
        <v>68</v>
      </c>
      <c r="G150" s="2" t="s">
        <v>80</v>
      </c>
      <c r="H150" s="2" t="s">
        <v>117</v>
      </c>
      <c r="I150" s="2" t="s">
        <v>117</v>
      </c>
      <c r="J150" s="2" t="s">
        <v>117</v>
      </c>
      <c r="K150" s="2" t="s">
        <v>82</v>
      </c>
      <c r="L150" s="2" t="s">
        <v>99</v>
      </c>
      <c r="M150" s="2" t="s">
        <v>91</v>
      </c>
      <c r="N150" s="2" t="s">
        <v>115</v>
      </c>
      <c r="O150" s="2" t="s">
        <v>117</v>
      </c>
      <c r="P150" s="2" t="s">
        <v>111</v>
      </c>
      <c r="Q150" s="31">
        <v>0</v>
      </c>
      <c r="R150" s="2" t="s">
        <v>117</v>
      </c>
      <c r="S150" s="2" t="s">
        <v>101</v>
      </c>
      <c r="T150" s="20">
        <v>46113</v>
      </c>
      <c r="U150" s="32">
        <v>2</v>
      </c>
      <c r="V150" s="32">
        <v>1</v>
      </c>
      <c r="W150" s="22">
        <f t="shared" si="34"/>
        <v>1300</v>
      </c>
      <c r="X150" s="22">
        <v>7245</v>
      </c>
      <c r="Y150" s="23">
        <f t="shared" si="35"/>
        <v>8358.5564226150509</v>
      </c>
      <c r="Z150" s="24">
        <f t="shared" si="36"/>
        <v>1153.6999893188477</v>
      </c>
      <c r="AA150" s="30">
        <v>817.67999267578125</v>
      </c>
      <c r="AB150" s="30">
        <v>288.33999633789063</v>
      </c>
      <c r="AC150" s="30">
        <v>47.680000305175781</v>
      </c>
      <c r="AD150" s="25">
        <f t="shared" si="37"/>
        <v>887.46153024526734</v>
      </c>
      <c r="AE150" s="26">
        <f t="shared" si="38"/>
        <v>567.18973795572913</v>
      </c>
      <c r="AF150" s="26">
        <f t="shared" si="39"/>
        <v>36.676923311673683</v>
      </c>
      <c r="AG150" s="26">
        <f t="shared" si="40"/>
        <v>283.59486897786456</v>
      </c>
      <c r="AH150" s="25">
        <f t="shared" si="41"/>
        <v>6.4296587866269617</v>
      </c>
      <c r="AI150" s="25">
        <f t="shared" si="42"/>
        <v>4.1092896514892576</v>
      </c>
      <c r="AJ150" s="25">
        <f t="shared" si="43"/>
        <v>0.26572430939307584</v>
      </c>
      <c r="AK150" s="25">
        <f t="shared" si="44"/>
        <v>2.0546448257446288</v>
      </c>
      <c r="BA150" s="34">
        <f t="shared" si="45"/>
        <v>5924091.5469360352</v>
      </c>
      <c r="BB150" s="34">
        <f t="shared" si="46"/>
        <v>2089023.2734680176</v>
      </c>
      <c r="BC150" s="34">
        <f t="shared" si="47"/>
        <v>345441.60221099854</v>
      </c>
    </row>
    <row r="151" spans="2:55">
      <c r="B151" s="2" t="s">
        <v>66</v>
      </c>
      <c r="C151" s="2" t="s">
        <v>67</v>
      </c>
      <c r="D151" s="2" t="s">
        <v>81</v>
      </c>
      <c r="E151" s="2" t="s">
        <v>79</v>
      </c>
      <c r="F151" s="2" t="s">
        <v>68</v>
      </c>
      <c r="G151" s="2" t="s">
        <v>80</v>
      </c>
      <c r="H151" s="2" t="s">
        <v>117</v>
      </c>
      <c r="I151" s="2" t="s">
        <v>117</v>
      </c>
      <c r="J151" s="2" t="s">
        <v>117</v>
      </c>
      <c r="K151" s="2" t="s">
        <v>82</v>
      </c>
      <c r="L151" s="2" t="s">
        <v>99</v>
      </c>
      <c r="M151" s="2" t="s">
        <v>91</v>
      </c>
      <c r="N151" s="2" t="s">
        <v>115</v>
      </c>
      <c r="O151" s="2" t="s">
        <v>117</v>
      </c>
      <c r="P151" s="2" t="s">
        <v>111</v>
      </c>
      <c r="Q151" s="31">
        <v>0</v>
      </c>
      <c r="R151" s="2" t="s">
        <v>117</v>
      </c>
      <c r="S151" s="2" t="s">
        <v>102</v>
      </c>
      <c r="T151" s="20">
        <v>46113</v>
      </c>
      <c r="U151" s="32">
        <v>2</v>
      </c>
      <c r="V151" s="32">
        <v>1</v>
      </c>
      <c r="W151" s="22">
        <f t="shared" si="34"/>
        <v>1300</v>
      </c>
      <c r="X151" s="22">
        <v>37312</v>
      </c>
      <c r="Y151" s="23">
        <f t="shared" si="35"/>
        <v>41737.203000732421</v>
      </c>
      <c r="Z151" s="24">
        <f t="shared" si="36"/>
        <v>1118.5999946594238</v>
      </c>
      <c r="AA151" s="30">
        <v>1048.8699951171875</v>
      </c>
      <c r="AB151" s="30">
        <v>19.540000915527344</v>
      </c>
      <c r="AC151" s="30">
        <v>50.189998626708984</v>
      </c>
      <c r="AD151" s="25">
        <f t="shared" si="37"/>
        <v>860.46153435340284</v>
      </c>
      <c r="AE151" s="26">
        <f t="shared" si="38"/>
        <v>821.85384310208826</v>
      </c>
      <c r="AF151" s="26">
        <f t="shared" si="39"/>
        <v>38.607691251314598</v>
      </c>
      <c r="AG151" s="26">
        <f t="shared" si="40"/>
        <v>0</v>
      </c>
      <c r="AH151" s="25">
        <f t="shared" si="41"/>
        <v>32.105540769794167</v>
      </c>
      <c r="AI151" s="25">
        <f t="shared" si="42"/>
        <v>30.665010593825116</v>
      </c>
      <c r="AJ151" s="25">
        <f t="shared" si="43"/>
        <v>1.4405301759690503</v>
      </c>
      <c r="AK151" s="25">
        <f t="shared" si="44"/>
        <v>0</v>
      </c>
      <c r="BA151" s="34">
        <f t="shared" si="45"/>
        <v>39135437.2578125</v>
      </c>
      <c r="BB151" s="34">
        <f t="shared" si="46"/>
        <v>729076.51416015625</v>
      </c>
      <c r="BC151" s="34">
        <f t="shared" si="47"/>
        <v>1872689.2287597656</v>
      </c>
    </row>
    <row r="152" spans="2:55">
      <c r="B152" s="2" t="s">
        <v>66</v>
      </c>
      <c r="C152" s="2" t="s">
        <v>67</v>
      </c>
      <c r="D152" s="2" t="s">
        <v>81</v>
      </c>
      <c r="E152" s="2" t="s">
        <v>79</v>
      </c>
      <c r="F152" s="2" t="s">
        <v>68</v>
      </c>
      <c r="G152" s="2" t="s">
        <v>80</v>
      </c>
      <c r="H152" s="2" t="s">
        <v>117</v>
      </c>
      <c r="I152" s="2" t="s">
        <v>117</v>
      </c>
      <c r="J152" s="2" t="s">
        <v>117</v>
      </c>
      <c r="K152" s="2" t="s">
        <v>82</v>
      </c>
      <c r="L152" s="2" t="s">
        <v>99</v>
      </c>
      <c r="M152" s="2" t="s">
        <v>91</v>
      </c>
      <c r="N152" s="2" t="s">
        <v>115</v>
      </c>
      <c r="O152" s="2" t="s">
        <v>117</v>
      </c>
      <c r="P152" s="2" t="s">
        <v>111</v>
      </c>
      <c r="Q152" s="31">
        <v>0</v>
      </c>
      <c r="R152" s="2" t="s">
        <v>117</v>
      </c>
      <c r="S152" s="2" t="s">
        <v>139</v>
      </c>
      <c r="T152" s="20">
        <v>46113</v>
      </c>
      <c r="U152" s="32">
        <v>2</v>
      </c>
      <c r="V152" s="32">
        <v>1</v>
      </c>
      <c r="W152" s="22">
        <f t="shared" si="34"/>
        <v>1300</v>
      </c>
      <c r="X152" s="22">
        <v>45462</v>
      </c>
      <c r="Y152" s="23">
        <f t="shared" si="35"/>
        <v>58461.858154277805</v>
      </c>
      <c r="Z152" s="24">
        <f t="shared" si="36"/>
        <v>1285.9499835968018</v>
      </c>
      <c r="AA152" s="30">
        <v>1085.22998046875</v>
      </c>
      <c r="AB152" s="30">
        <v>172.66000366210938</v>
      </c>
      <c r="AC152" s="30">
        <v>28.059999465942383</v>
      </c>
      <c r="AD152" s="25">
        <f t="shared" si="37"/>
        <v>989.19229507446289</v>
      </c>
      <c r="AE152" s="26">
        <f t="shared" si="38"/>
        <v>967.60768010066101</v>
      </c>
      <c r="AF152" s="26">
        <f t="shared" si="39"/>
        <v>21.584614973801834</v>
      </c>
      <c r="AG152" s="26">
        <f t="shared" si="40"/>
        <v>0</v>
      </c>
      <c r="AH152" s="25">
        <f t="shared" si="41"/>
        <v>44.970660118675234</v>
      </c>
      <c r="AI152" s="25">
        <f t="shared" si="42"/>
        <v>43.989380352736248</v>
      </c>
      <c r="AJ152" s="25">
        <f t="shared" si="43"/>
        <v>0.98127976593897903</v>
      </c>
      <c r="AK152" s="25">
        <f t="shared" si="44"/>
        <v>0</v>
      </c>
      <c r="BA152" s="34">
        <f t="shared" si="45"/>
        <v>49336725.372070313</v>
      </c>
      <c r="BB152" s="34">
        <f t="shared" si="46"/>
        <v>7849469.0864868164</v>
      </c>
      <c r="BC152" s="34">
        <f t="shared" si="47"/>
        <v>1275663.6957206726</v>
      </c>
    </row>
    <row r="153" spans="2:55">
      <c r="B153" s="2" t="s">
        <v>66</v>
      </c>
      <c r="C153" s="2" t="s">
        <v>67</v>
      </c>
      <c r="D153" s="2" t="s">
        <v>81</v>
      </c>
      <c r="E153" s="2" t="s">
        <v>79</v>
      </c>
      <c r="F153" s="2" t="s">
        <v>68</v>
      </c>
      <c r="G153" s="2" t="s">
        <v>80</v>
      </c>
      <c r="H153" s="2" t="s">
        <v>117</v>
      </c>
      <c r="I153" s="2" t="s">
        <v>117</v>
      </c>
      <c r="J153" s="2" t="s">
        <v>117</v>
      </c>
      <c r="K153" s="2" t="s">
        <v>82</v>
      </c>
      <c r="L153" s="2" t="s">
        <v>99</v>
      </c>
      <c r="M153" s="2" t="s">
        <v>91</v>
      </c>
      <c r="N153" s="2" t="s">
        <v>115</v>
      </c>
      <c r="O153" s="2" t="s">
        <v>117</v>
      </c>
      <c r="P153" s="2" t="s">
        <v>111</v>
      </c>
      <c r="Q153" s="31">
        <v>0</v>
      </c>
      <c r="R153" s="2" t="s">
        <v>117</v>
      </c>
      <c r="S153" s="2" t="s">
        <v>106</v>
      </c>
      <c r="T153" s="20">
        <v>46113</v>
      </c>
      <c r="U153" s="32">
        <v>2</v>
      </c>
      <c r="V153" s="32">
        <v>1</v>
      </c>
      <c r="W153" s="22">
        <f t="shared" si="34"/>
        <v>1300</v>
      </c>
      <c r="X153" s="22">
        <v>44698</v>
      </c>
      <c r="Y153" s="23">
        <f t="shared" si="35"/>
        <v>74323.386096847535</v>
      </c>
      <c r="Z153" s="24">
        <f t="shared" si="36"/>
        <v>1662.7899703979492</v>
      </c>
      <c r="AA153" s="30">
        <v>1352.5799560546875</v>
      </c>
      <c r="AB153" s="30">
        <v>287.3900146484375</v>
      </c>
      <c r="AC153" s="30">
        <v>22.819999694824219</v>
      </c>
      <c r="AD153" s="25">
        <f t="shared" si="37"/>
        <v>1279.0692079984224</v>
      </c>
      <c r="AE153" s="26">
        <f t="shared" si="38"/>
        <v>1261.5153620793269</v>
      </c>
      <c r="AF153" s="26">
        <f t="shared" si="39"/>
        <v>17.553845919095551</v>
      </c>
      <c r="AG153" s="26">
        <f t="shared" si="40"/>
        <v>0</v>
      </c>
      <c r="AH153" s="25">
        <f t="shared" si="41"/>
        <v>57.171835459113488</v>
      </c>
      <c r="AI153" s="25">
        <f t="shared" si="42"/>
        <v>56.387213654221753</v>
      </c>
      <c r="AJ153" s="25">
        <f t="shared" si="43"/>
        <v>0.78462180489173283</v>
      </c>
      <c r="AK153" s="25">
        <f t="shared" si="44"/>
        <v>0</v>
      </c>
      <c r="BA153" s="34">
        <f t="shared" si="45"/>
        <v>60457618.875732422</v>
      </c>
      <c r="BB153" s="34">
        <f t="shared" si="46"/>
        <v>12845758.874755859</v>
      </c>
      <c r="BC153" s="34">
        <f t="shared" si="47"/>
        <v>1020008.3463592529</v>
      </c>
    </row>
    <row r="154" spans="2:55">
      <c r="B154" s="2" t="s">
        <v>66</v>
      </c>
      <c r="C154" s="2" t="s">
        <v>67</v>
      </c>
      <c r="D154" s="2" t="s">
        <v>81</v>
      </c>
      <c r="E154" s="2" t="s">
        <v>79</v>
      </c>
      <c r="F154" s="2" t="s">
        <v>68</v>
      </c>
      <c r="G154" s="2" t="s">
        <v>80</v>
      </c>
      <c r="H154" s="2" t="s">
        <v>117</v>
      </c>
      <c r="I154" s="2" t="s">
        <v>117</v>
      </c>
      <c r="J154" s="2" t="s">
        <v>117</v>
      </c>
      <c r="K154" s="2" t="s">
        <v>82</v>
      </c>
      <c r="L154" s="2" t="s">
        <v>99</v>
      </c>
      <c r="M154" s="2" t="s">
        <v>91</v>
      </c>
      <c r="N154" s="2" t="s">
        <v>115</v>
      </c>
      <c r="O154" s="2" t="s">
        <v>117</v>
      </c>
      <c r="P154" s="2" t="s">
        <v>111</v>
      </c>
      <c r="Q154" s="31">
        <v>0</v>
      </c>
      <c r="R154" s="2" t="s">
        <v>117</v>
      </c>
      <c r="S154" s="2" t="s">
        <v>105</v>
      </c>
      <c r="T154" s="20">
        <v>46113</v>
      </c>
      <c r="U154" s="32">
        <v>2</v>
      </c>
      <c r="V154" s="32">
        <v>1</v>
      </c>
      <c r="W154" s="22">
        <f t="shared" si="34"/>
        <v>1300</v>
      </c>
      <c r="X154" s="22">
        <v>806</v>
      </c>
      <c r="Y154" s="23">
        <f t="shared" si="35"/>
        <v>1146.6398085327148</v>
      </c>
      <c r="Z154" s="24">
        <f t="shared" si="36"/>
        <v>1422.6300354003906</v>
      </c>
      <c r="AA154" s="30">
        <v>1343.1600341796875</v>
      </c>
      <c r="AB154" s="30">
        <v>53.720001220703125</v>
      </c>
      <c r="AC154" s="30">
        <v>25.75</v>
      </c>
      <c r="AD154" s="25">
        <f t="shared" si="37"/>
        <v>1094.3307964618389</v>
      </c>
      <c r="AE154" s="26">
        <f t="shared" si="38"/>
        <v>1074.5231041541465</v>
      </c>
      <c r="AF154" s="26">
        <f t="shared" si="39"/>
        <v>19.807692307692307</v>
      </c>
      <c r="AG154" s="26">
        <f t="shared" si="40"/>
        <v>0</v>
      </c>
      <c r="AH154" s="25">
        <f t="shared" si="41"/>
        <v>0.88203062194824222</v>
      </c>
      <c r="AI154" s="25">
        <f t="shared" si="42"/>
        <v>0.8660656219482421</v>
      </c>
      <c r="AJ154" s="25">
        <f t="shared" si="43"/>
        <v>1.5965E-2</v>
      </c>
      <c r="AK154" s="25">
        <f t="shared" si="44"/>
        <v>0</v>
      </c>
      <c r="BA154" s="34">
        <f t="shared" si="45"/>
        <v>1082586.9875488281</v>
      </c>
      <c r="BB154" s="34">
        <f t="shared" si="46"/>
        <v>43298.320983886719</v>
      </c>
      <c r="BC154" s="34">
        <f t="shared" si="47"/>
        <v>20754.5</v>
      </c>
    </row>
    <row r="155" spans="2:55">
      <c r="B155" s="2" t="s">
        <v>66</v>
      </c>
      <c r="C155" s="2" t="s">
        <v>67</v>
      </c>
      <c r="D155" s="2" t="s">
        <v>81</v>
      </c>
      <c r="E155" s="2" t="s">
        <v>79</v>
      </c>
      <c r="F155" s="2" t="s">
        <v>68</v>
      </c>
      <c r="G155" s="2" t="s">
        <v>80</v>
      </c>
      <c r="H155" s="2" t="s">
        <v>117</v>
      </c>
      <c r="I155" s="2" t="s">
        <v>117</v>
      </c>
      <c r="J155" s="2" t="s">
        <v>117</v>
      </c>
      <c r="K155" s="2" t="s">
        <v>82</v>
      </c>
      <c r="L155" s="2" t="s">
        <v>99</v>
      </c>
      <c r="M155" s="2" t="s">
        <v>91</v>
      </c>
      <c r="N155" s="2" t="s">
        <v>115</v>
      </c>
      <c r="O155" s="2" t="s">
        <v>117</v>
      </c>
      <c r="P155" s="2" t="s">
        <v>111</v>
      </c>
      <c r="Q155" s="31">
        <v>0</v>
      </c>
      <c r="R155" s="2" t="s">
        <v>117</v>
      </c>
      <c r="S155" s="2" t="s">
        <v>107</v>
      </c>
      <c r="T155" s="20">
        <v>46113</v>
      </c>
      <c r="U155" s="32">
        <v>2</v>
      </c>
      <c r="V155" s="32">
        <v>1</v>
      </c>
      <c r="W155" s="22">
        <f t="shared" si="34"/>
        <v>1300</v>
      </c>
      <c r="X155" s="22">
        <v>5014</v>
      </c>
      <c r="Y155" s="23">
        <f t="shared" si="35"/>
        <v>6106.4001555175782</v>
      </c>
      <c r="Z155" s="24">
        <f t="shared" si="36"/>
        <v>1217.8699951171875</v>
      </c>
      <c r="AA155" s="30">
        <v>928.1199951171875</v>
      </c>
      <c r="AB155" s="30">
        <v>235.36000061035156</v>
      </c>
      <c r="AC155" s="30">
        <v>54.389999389648438</v>
      </c>
      <c r="AD155" s="25">
        <f t="shared" si="37"/>
        <v>936.82307316706726</v>
      </c>
      <c r="AE155" s="26">
        <f t="shared" si="38"/>
        <v>894.98461209810694</v>
      </c>
      <c r="AF155" s="26">
        <f t="shared" si="39"/>
        <v>41.838461068960335</v>
      </c>
      <c r="AG155" s="26">
        <f t="shared" si="40"/>
        <v>0</v>
      </c>
      <c r="AH155" s="25">
        <f t="shared" si="41"/>
        <v>4.697230888859675</v>
      </c>
      <c r="AI155" s="25">
        <f t="shared" si="42"/>
        <v>4.4874528450599076</v>
      </c>
      <c r="AJ155" s="25">
        <f t="shared" si="43"/>
        <v>0.20977804379976714</v>
      </c>
      <c r="AK155" s="25">
        <f t="shared" si="44"/>
        <v>0</v>
      </c>
      <c r="BA155" s="34">
        <f t="shared" si="45"/>
        <v>4653593.6555175781</v>
      </c>
      <c r="BB155" s="34">
        <f t="shared" si="46"/>
        <v>1180095.0430603027</v>
      </c>
      <c r="BC155" s="34">
        <f t="shared" si="47"/>
        <v>272711.45693969727</v>
      </c>
    </row>
    <row r="156" spans="2:55">
      <c r="B156" s="2" t="s">
        <v>66</v>
      </c>
      <c r="C156" s="2" t="s">
        <v>67</v>
      </c>
      <c r="D156" s="2" t="s">
        <v>81</v>
      </c>
      <c r="E156" s="2" t="s">
        <v>79</v>
      </c>
      <c r="F156" s="2" t="s">
        <v>68</v>
      </c>
      <c r="G156" s="2" t="s">
        <v>80</v>
      </c>
      <c r="H156" s="2" t="s">
        <v>117</v>
      </c>
      <c r="I156" s="2" t="s">
        <v>117</v>
      </c>
      <c r="J156" s="2" t="s">
        <v>117</v>
      </c>
      <c r="K156" s="2" t="s">
        <v>82</v>
      </c>
      <c r="L156" s="2" t="s">
        <v>99</v>
      </c>
      <c r="M156" s="2" t="s">
        <v>91</v>
      </c>
      <c r="N156" s="2" t="s">
        <v>115</v>
      </c>
      <c r="O156" s="2" t="s">
        <v>117</v>
      </c>
      <c r="P156" s="2" t="s">
        <v>111</v>
      </c>
      <c r="Q156" s="31">
        <v>0</v>
      </c>
      <c r="R156" s="2" t="s">
        <v>117</v>
      </c>
      <c r="S156" s="2" t="s">
        <v>140</v>
      </c>
      <c r="T156" s="20">
        <v>46113</v>
      </c>
      <c r="U156" s="32">
        <v>2</v>
      </c>
      <c r="V156" s="32">
        <v>1</v>
      </c>
      <c r="W156" s="22">
        <f t="shared" si="34"/>
        <v>1300</v>
      </c>
      <c r="X156" s="22">
        <v>9142</v>
      </c>
      <c r="Y156" s="23">
        <f t="shared" si="35"/>
        <v>10900.098067428589</v>
      </c>
      <c r="Z156" s="24">
        <f t="shared" si="36"/>
        <v>1192.3100051879883</v>
      </c>
      <c r="AA156" s="30">
        <v>1070.010009765625</v>
      </c>
      <c r="AB156" s="30">
        <v>68.199996948242188</v>
      </c>
      <c r="AC156" s="30">
        <v>54.099998474121094</v>
      </c>
      <c r="AD156" s="25">
        <f t="shared" si="37"/>
        <v>917.16154245229859</v>
      </c>
      <c r="AE156" s="26">
        <f t="shared" si="38"/>
        <v>875.546159010667</v>
      </c>
      <c r="AF156" s="26">
        <f t="shared" si="39"/>
        <v>41.615383441631614</v>
      </c>
      <c r="AG156" s="26">
        <f t="shared" si="40"/>
        <v>0</v>
      </c>
      <c r="AH156" s="25">
        <f t="shared" si="41"/>
        <v>8.3846908210989142</v>
      </c>
      <c r="AI156" s="25">
        <f t="shared" si="42"/>
        <v>8.0042429856755177</v>
      </c>
      <c r="AJ156" s="25">
        <f t="shared" si="43"/>
        <v>0.38044783542339622</v>
      </c>
      <c r="AK156" s="25">
        <f t="shared" si="44"/>
        <v>0</v>
      </c>
      <c r="BA156" s="34">
        <f t="shared" si="45"/>
        <v>9782031.5092773438</v>
      </c>
      <c r="BB156" s="34">
        <f t="shared" si="46"/>
        <v>623484.37210083008</v>
      </c>
      <c r="BC156" s="34">
        <f t="shared" si="47"/>
        <v>494582.18605041504</v>
      </c>
    </row>
    <row r="157" spans="2:55">
      <c r="B157" s="2" t="s">
        <v>66</v>
      </c>
      <c r="C157" s="2" t="s">
        <v>67</v>
      </c>
      <c r="D157" s="2" t="s">
        <v>81</v>
      </c>
      <c r="E157" s="2" t="s">
        <v>79</v>
      </c>
      <c r="F157" s="2" t="s">
        <v>68</v>
      </c>
      <c r="G157" s="2" t="s">
        <v>80</v>
      </c>
      <c r="H157" s="2" t="s">
        <v>117</v>
      </c>
      <c r="I157" s="2" t="s">
        <v>117</v>
      </c>
      <c r="J157" s="2" t="s">
        <v>117</v>
      </c>
      <c r="K157" s="2" t="s">
        <v>82</v>
      </c>
      <c r="L157" s="2" t="s">
        <v>99</v>
      </c>
      <c r="M157" s="2" t="s">
        <v>91</v>
      </c>
      <c r="N157" s="2" t="s">
        <v>115</v>
      </c>
      <c r="O157" s="2" t="s">
        <v>117</v>
      </c>
      <c r="P157" s="2" t="s">
        <v>111</v>
      </c>
      <c r="Q157" s="31">
        <v>0</v>
      </c>
      <c r="R157" s="2" t="s">
        <v>117</v>
      </c>
      <c r="S157" s="2" t="s">
        <v>109</v>
      </c>
      <c r="T157" s="20">
        <v>46113</v>
      </c>
      <c r="U157" s="32">
        <v>2</v>
      </c>
      <c r="V157" s="32">
        <v>1</v>
      </c>
      <c r="W157" s="22">
        <f t="shared" si="34"/>
        <v>1300</v>
      </c>
      <c r="X157" s="22">
        <v>23265</v>
      </c>
      <c r="Y157" s="23">
        <f t="shared" si="35"/>
        <v>20790.302418594361</v>
      </c>
      <c r="Z157" s="24">
        <f t="shared" si="36"/>
        <v>893.63002014160156</v>
      </c>
      <c r="AA157" s="30">
        <v>735.27001953125</v>
      </c>
      <c r="AB157" s="30">
        <v>133.72000122070313</v>
      </c>
      <c r="AC157" s="30">
        <v>24.639999389648438</v>
      </c>
      <c r="AD157" s="25">
        <f t="shared" si="37"/>
        <v>687.40770780123205</v>
      </c>
      <c r="AE157" s="26">
        <f t="shared" si="38"/>
        <v>668.45386211688708</v>
      </c>
      <c r="AF157" s="26">
        <f t="shared" si="39"/>
        <v>18.953845684344952</v>
      </c>
      <c r="AG157" s="26">
        <f t="shared" si="40"/>
        <v>0</v>
      </c>
      <c r="AH157" s="25">
        <f t="shared" si="41"/>
        <v>15.992540321995664</v>
      </c>
      <c r="AI157" s="25">
        <f t="shared" si="42"/>
        <v>15.551579102149379</v>
      </c>
      <c r="AJ157" s="25">
        <f t="shared" si="43"/>
        <v>0.44096121984628528</v>
      </c>
      <c r="AK157" s="25">
        <f t="shared" si="44"/>
        <v>0</v>
      </c>
      <c r="BA157" s="34">
        <f t="shared" si="45"/>
        <v>17106057.004394531</v>
      </c>
      <c r="BB157" s="34">
        <f t="shared" si="46"/>
        <v>3110995.8283996582</v>
      </c>
      <c r="BC157" s="34">
        <f t="shared" si="47"/>
        <v>573249.5858001709</v>
      </c>
    </row>
    <row r="158" spans="2:55">
      <c r="B158" s="2" t="s">
        <v>66</v>
      </c>
      <c r="C158" s="2" t="s">
        <v>67</v>
      </c>
      <c r="D158" s="2" t="s">
        <v>81</v>
      </c>
      <c r="E158" s="2" t="s">
        <v>79</v>
      </c>
      <c r="F158" s="2" t="s">
        <v>68</v>
      </c>
      <c r="G158" s="2" t="s">
        <v>80</v>
      </c>
      <c r="H158" s="2" t="s">
        <v>117</v>
      </c>
      <c r="I158" s="2" t="s">
        <v>117</v>
      </c>
      <c r="J158" s="2" t="s">
        <v>117</v>
      </c>
      <c r="K158" s="2" t="s">
        <v>82</v>
      </c>
      <c r="L158" s="2" t="s">
        <v>99</v>
      </c>
      <c r="M158" s="2" t="s">
        <v>91</v>
      </c>
      <c r="N158" s="2" t="s">
        <v>115</v>
      </c>
      <c r="O158" s="2" t="s">
        <v>117</v>
      </c>
      <c r="P158" s="2" t="s">
        <v>111</v>
      </c>
      <c r="Q158" s="31">
        <v>0</v>
      </c>
      <c r="R158" s="2" t="s">
        <v>117</v>
      </c>
      <c r="S158" s="2" t="s">
        <v>108</v>
      </c>
      <c r="T158" s="20">
        <v>46113</v>
      </c>
      <c r="U158" s="32">
        <v>2</v>
      </c>
      <c r="V158" s="32">
        <v>1</v>
      </c>
      <c r="W158" s="22">
        <f t="shared" si="34"/>
        <v>1300</v>
      </c>
      <c r="X158" s="22">
        <v>25864</v>
      </c>
      <c r="Y158" s="23">
        <f t="shared" si="35"/>
        <v>38432.611313049318</v>
      </c>
      <c r="Z158" s="24">
        <f t="shared" si="36"/>
        <v>1485.9500198364258</v>
      </c>
      <c r="AA158" s="30">
        <v>1206.77001953125</v>
      </c>
      <c r="AB158" s="30">
        <v>207.44999694824219</v>
      </c>
      <c r="AC158" s="30">
        <v>71.730003356933594</v>
      </c>
      <c r="AD158" s="25">
        <f t="shared" si="37"/>
        <v>1143.0384767972507</v>
      </c>
      <c r="AE158" s="26">
        <f t="shared" si="38"/>
        <v>1087.861551138071</v>
      </c>
      <c r="AF158" s="26">
        <f t="shared" si="39"/>
        <v>55.176925659179688</v>
      </c>
      <c r="AG158" s="26">
        <f t="shared" si="40"/>
        <v>0</v>
      </c>
      <c r="AH158" s="25">
        <f t="shared" si="41"/>
        <v>29.563547163884092</v>
      </c>
      <c r="AI158" s="25">
        <f t="shared" si="42"/>
        <v>28.136451158635069</v>
      </c>
      <c r="AJ158" s="25">
        <f t="shared" si="43"/>
        <v>1.4270960052490234</v>
      </c>
      <c r="AK158" s="25">
        <f t="shared" si="44"/>
        <v>0</v>
      </c>
      <c r="BA158" s="34">
        <f t="shared" si="45"/>
        <v>31211899.78515625</v>
      </c>
      <c r="BB158" s="34">
        <f t="shared" si="46"/>
        <v>5365486.7210693359</v>
      </c>
      <c r="BC158" s="34">
        <f t="shared" si="47"/>
        <v>1855224.8068237305</v>
      </c>
    </row>
    <row r="159" spans="2:55">
      <c r="B159" s="2" t="s">
        <v>66</v>
      </c>
      <c r="C159" s="2" t="s">
        <v>67</v>
      </c>
      <c r="D159" s="2" t="s">
        <v>81</v>
      </c>
      <c r="E159" s="2" t="s">
        <v>79</v>
      </c>
      <c r="F159" s="2" t="s">
        <v>68</v>
      </c>
      <c r="G159" s="2" t="s">
        <v>80</v>
      </c>
      <c r="H159" s="2" t="s">
        <v>117</v>
      </c>
      <c r="I159" s="2" t="s">
        <v>117</v>
      </c>
      <c r="J159" s="2" t="s">
        <v>117</v>
      </c>
      <c r="K159" s="2" t="s">
        <v>82</v>
      </c>
      <c r="L159" s="2" t="s">
        <v>99</v>
      </c>
      <c r="M159" s="2" t="s">
        <v>91</v>
      </c>
      <c r="N159" s="2" t="s">
        <v>115</v>
      </c>
      <c r="O159" s="2" t="s">
        <v>117</v>
      </c>
      <c r="P159" s="2" t="s">
        <v>111</v>
      </c>
      <c r="Q159" s="31">
        <v>0</v>
      </c>
      <c r="R159" s="2" t="s">
        <v>117</v>
      </c>
      <c r="S159" s="2" t="s">
        <v>103</v>
      </c>
      <c r="T159" s="20">
        <v>46113</v>
      </c>
      <c r="U159" s="32">
        <v>2</v>
      </c>
      <c r="V159" s="32">
        <v>1</v>
      </c>
      <c r="W159" s="22">
        <f t="shared" si="34"/>
        <v>1300</v>
      </c>
      <c r="X159" s="22">
        <v>36487</v>
      </c>
      <c r="Y159" s="23">
        <f t="shared" si="35"/>
        <v>46057.904324172974</v>
      </c>
      <c r="Z159" s="24">
        <f t="shared" si="36"/>
        <v>1262.3099822998047</v>
      </c>
      <c r="AA159" s="30">
        <v>996.28997802734375</v>
      </c>
      <c r="AB159" s="30">
        <v>182.41000366210938</v>
      </c>
      <c r="AC159" s="30">
        <v>83.610000610351563</v>
      </c>
      <c r="AD159" s="25">
        <f t="shared" si="37"/>
        <v>971.00767869215747</v>
      </c>
      <c r="AE159" s="26">
        <f t="shared" si="38"/>
        <v>906.69229360727161</v>
      </c>
      <c r="AF159" s="26">
        <f t="shared" si="39"/>
        <v>64.315385084885818</v>
      </c>
      <c r="AG159" s="26">
        <f t="shared" si="40"/>
        <v>0</v>
      </c>
      <c r="AH159" s="25">
        <f t="shared" si="41"/>
        <v>35.429157172440753</v>
      </c>
      <c r="AI159" s="25">
        <f t="shared" si="42"/>
        <v>33.08248171684852</v>
      </c>
      <c r="AJ159" s="25">
        <f t="shared" si="43"/>
        <v>2.3466754555922291</v>
      </c>
      <c r="AK159" s="25">
        <f t="shared" si="44"/>
        <v>0</v>
      </c>
      <c r="BA159" s="34">
        <f t="shared" si="45"/>
        <v>36351632.428283691</v>
      </c>
      <c r="BB159" s="34">
        <f t="shared" si="46"/>
        <v>6655593.8036193848</v>
      </c>
      <c r="BC159" s="34">
        <f t="shared" si="47"/>
        <v>3050678.0922698975</v>
      </c>
    </row>
    <row r="160" spans="2:55">
      <c r="B160" s="2" t="s">
        <v>66</v>
      </c>
      <c r="C160" s="2" t="s">
        <v>67</v>
      </c>
      <c r="D160" s="2" t="s">
        <v>81</v>
      </c>
      <c r="E160" s="2" t="s">
        <v>79</v>
      </c>
      <c r="F160" s="2" t="s">
        <v>68</v>
      </c>
      <c r="G160" s="2" t="s">
        <v>80</v>
      </c>
      <c r="H160" s="2" t="s">
        <v>117</v>
      </c>
      <c r="I160" s="2" t="s">
        <v>117</v>
      </c>
      <c r="J160" s="2" t="s">
        <v>117</v>
      </c>
      <c r="K160" s="2" t="s">
        <v>82</v>
      </c>
      <c r="L160" s="2" t="s">
        <v>99</v>
      </c>
      <c r="M160" s="2" t="s">
        <v>91</v>
      </c>
      <c r="N160" s="2" t="s">
        <v>115</v>
      </c>
      <c r="O160" s="2" t="s">
        <v>117</v>
      </c>
      <c r="P160" s="2" t="s">
        <v>111</v>
      </c>
      <c r="Q160" s="31">
        <v>0</v>
      </c>
      <c r="R160" s="2" t="s">
        <v>117</v>
      </c>
      <c r="S160" s="2" t="s">
        <v>104</v>
      </c>
      <c r="T160" s="20">
        <v>46113</v>
      </c>
      <c r="U160" s="32">
        <v>2</v>
      </c>
      <c r="V160" s="32">
        <v>1</v>
      </c>
      <c r="W160" s="22">
        <f t="shared" si="34"/>
        <v>1300</v>
      </c>
      <c r="X160" s="22">
        <v>901</v>
      </c>
      <c r="Y160" s="23">
        <f t="shared" si="35"/>
        <v>1402.9560968017579</v>
      </c>
      <c r="Z160" s="24">
        <f t="shared" si="36"/>
        <v>1557.1099853515625</v>
      </c>
      <c r="AA160" s="30">
        <v>1356.97998046875</v>
      </c>
      <c r="AB160" s="30">
        <v>167.52000427246094</v>
      </c>
      <c r="AC160" s="30">
        <v>32.610000610351563</v>
      </c>
      <c r="AD160" s="25">
        <f t="shared" si="37"/>
        <v>1197.7769118088943</v>
      </c>
      <c r="AE160" s="26">
        <f t="shared" si="38"/>
        <v>1172.6922959547776</v>
      </c>
      <c r="AF160" s="26">
        <f t="shared" si="39"/>
        <v>25.084615854116588</v>
      </c>
      <c r="AG160" s="26">
        <f t="shared" si="40"/>
        <v>0</v>
      </c>
      <c r="AH160" s="25">
        <f t="shared" si="41"/>
        <v>1.0791969975398139</v>
      </c>
      <c r="AI160" s="25">
        <f t="shared" si="42"/>
        <v>1.0565957586552546</v>
      </c>
      <c r="AJ160" s="25">
        <f t="shared" si="43"/>
        <v>2.2601238884559047E-2</v>
      </c>
      <c r="AK160" s="25">
        <f t="shared" si="44"/>
        <v>0</v>
      </c>
      <c r="BA160" s="34">
        <f t="shared" si="45"/>
        <v>1222638.9624023438</v>
      </c>
      <c r="BB160" s="34">
        <f t="shared" si="46"/>
        <v>150935.5238494873</v>
      </c>
      <c r="BC160" s="34">
        <f t="shared" si="47"/>
        <v>29381.610549926758</v>
      </c>
    </row>
    <row r="161" spans="2:55">
      <c r="B161" s="2" t="s">
        <v>66</v>
      </c>
      <c r="C161" s="2" t="s">
        <v>67</v>
      </c>
      <c r="D161" s="2" t="s">
        <v>81</v>
      </c>
      <c r="E161" s="2" t="s">
        <v>79</v>
      </c>
      <c r="F161" s="2" t="s">
        <v>68</v>
      </c>
      <c r="G161" s="2" t="s">
        <v>80</v>
      </c>
      <c r="H161" s="2" t="s">
        <v>117</v>
      </c>
      <c r="I161" s="2" t="s">
        <v>117</v>
      </c>
      <c r="J161" s="2" t="s">
        <v>117</v>
      </c>
      <c r="K161" s="2" t="s">
        <v>69</v>
      </c>
      <c r="L161" s="2" t="s">
        <v>97</v>
      </c>
      <c r="M161" s="2" t="s">
        <v>88</v>
      </c>
      <c r="N161" s="2" t="s">
        <v>118</v>
      </c>
      <c r="O161" s="2" t="s">
        <v>117</v>
      </c>
      <c r="P161" s="2" t="s">
        <v>111</v>
      </c>
      <c r="Q161" s="31" t="s">
        <v>131</v>
      </c>
      <c r="R161" s="2" t="s">
        <v>117</v>
      </c>
      <c r="S161" s="2" t="s">
        <v>120</v>
      </c>
      <c r="T161" s="20">
        <v>46143</v>
      </c>
      <c r="U161" s="32">
        <v>2</v>
      </c>
      <c r="V161" s="32">
        <v>1</v>
      </c>
      <c r="W161" s="22">
        <f t="shared" si="34"/>
        <v>1</v>
      </c>
      <c r="X161" s="22">
        <v>38749</v>
      </c>
      <c r="Y161" s="23">
        <f t="shared" si="35"/>
        <v>33273.37889074433</v>
      </c>
      <c r="Z161" s="24">
        <f t="shared" si="36"/>
        <v>858.69000208377838</v>
      </c>
      <c r="AA161" s="30">
        <v>795.94000244140625</v>
      </c>
      <c r="AB161" s="30">
        <v>61.069999694824219</v>
      </c>
      <c r="AC161" s="30">
        <v>1.6799999475479126</v>
      </c>
      <c r="AD161" s="25">
        <f t="shared" si="37"/>
        <v>0</v>
      </c>
      <c r="AE161" s="26">
        <f t="shared" si="38"/>
        <v>0</v>
      </c>
      <c r="AF161" s="26">
        <f t="shared" si="39"/>
        <v>0</v>
      </c>
      <c r="AG161" s="26">
        <f t="shared" si="40"/>
        <v>0</v>
      </c>
      <c r="AH161" s="25">
        <f t="shared" si="41"/>
        <v>0</v>
      </c>
      <c r="AI161" s="25">
        <f t="shared" si="42"/>
        <v>0</v>
      </c>
      <c r="AJ161" s="25">
        <f t="shared" si="43"/>
        <v>0</v>
      </c>
      <c r="AK161" s="25">
        <f t="shared" si="44"/>
        <v>0</v>
      </c>
      <c r="BA161" s="34">
        <f t="shared" si="45"/>
        <v>30841879.154602051</v>
      </c>
      <c r="BB161" s="34">
        <f t="shared" si="46"/>
        <v>2366401.4181747437</v>
      </c>
      <c r="BC161" s="34">
        <f t="shared" si="47"/>
        <v>65098.317967534065</v>
      </c>
    </row>
    <row r="162" spans="2:55">
      <c r="B162" s="2" t="s">
        <v>66</v>
      </c>
      <c r="C162" s="2" t="s">
        <v>67</v>
      </c>
      <c r="D162" s="2" t="s">
        <v>81</v>
      </c>
      <c r="E162" s="2" t="s">
        <v>79</v>
      </c>
      <c r="F162" s="2" t="s">
        <v>68</v>
      </c>
      <c r="G162" s="2" t="s">
        <v>80</v>
      </c>
      <c r="H162" s="2" t="s">
        <v>117</v>
      </c>
      <c r="I162" s="2" t="s">
        <v>117</v>
      </c>
      <c r="J162" s="2" t="s">
        <v>117</v>
      </c>
      <c r="K162" s="2" t="s">
        <v>69</v>
      </c>
      <c r="L162" s="2" t="s">
        <v>97</v>
      </c>
      <c r="M162" s="2" t="s">
        <v>88</v>
      </c>
      <c r="N162" s="2" t="s">
        <v>118</v>
      </c>
      <c r="O162" s="2" t="s">
        <v>117</v>
      </c>
      <c r="P162" s="2" t="s">
        <v>111</v>
      </c>
      <c r="Q162" s="31" t="s">
        <v>132</v>
      </c>
      <c r="R162" s="2" t="s">
        <v>117</v>
      </c>
      <c r="S162" s="2" t="s">
        <v>120</v>
      </c>
      <c r="T162" s="20">
        <v>46143</v>
      </c>
      <c r="U162" s="32">
        <v>2</v>
      </c>
      <c r="V162" s="32">
        <v>1</v>
      </c>
      <c r="W162" s="22">
        <f t="shared" si="34"/>
        <v>1</v>
      </c>
      <c r="X162" s="22">
        <v>3709</v>
      </c>
      <c r="Y162" s="23">
        <f t="shared" si="35"/>
        <v>4160.6820720672604</v>
      </c>
      <c r="Z162" s="24">
        <f t="shared" si="36"/>
        <v>1121.7800140380859</v>
      </c>
      <c r="AA162" s="30">
        <v>986.6400146484375</v>
      </c>
      <c r="AB162" s="30">
        <v>99.139999389648438</v>
      </c>
      <c r="AC162" s="30">
        <v>36</v>
      </c>
      <c r="AD162" s="25">
        <f t="shared" si="37"/>
        <v>0</v>
      </c>
      <c r="AE162" s="26">
        <f t="shared" si="38"/>
        <v>0</v>
      </c>
      <c r="AF162" s="26">
        <f t="shared" si="39"/>
        <v>0</v>
      </c>
      <c r="AG162" s="26">
        <f t="shared" si="40"/>
        <v>0</v>
      </c>
      <c r="AH162" s="25">
        <f t="shared" si="41"/>
        <v>0</v>
      </c>
      <c r="AI162" s="25">
        <f t="shared" si="42"/>
        <v>0</v>
      </c>
      <c r="AJ162" s="25">
        <f t="shared" si="43"/>
        <v>0</v>
      </c>
      <c r="AK162" s="25">
        <f t="shared" si="44"/>
        <v>0</v>
      </c>
      <c r="BA162" s="34">
        <f t="shared" si="45"/>
        <v>3659447.8143310547</v>
      </c>
      <c r="BB162" s="34">
        <f t="shared" si="46"/>
        <v>367710.25773620605</v>
      </c>
      <c r="BC162" s="34">
        <f t="shared" si="47"/>
        <v>133524</v>
      </c>
    </row>
    <row r="163" spans="2:55">
      <c r="B163" s="2" t="s">
        <v>66</v>
      </c>
      <c r="C163" s="2" t="s">
        <v>67</v>
      </c>
      <c r="D163" s="2" t="s">
        <v>81</v>
      </c>
      <c r="E163" s="2" t="s">
        <v>79</v>
      </c>
      <c r="F163" s="2" t="s">
        <v>68</v>
      </c>
      <c r="G163" s="2" t="s">
        <v>80</v>
      </c>
      <c r="H163" s="2" t="s">
        <v>117</v>
      </c>
      <c r="I163" s="2" t="s">
        <v>117</v>
      </c>
      <c r="J163" s="2" t="s">
        <v>117</v>
      </c>
      <c r="K163" s="2" t="s">
        <v>69</v>
      </c>
      <c r="L163" s="2" t="s">
        <v>97</v>
      </c>
      <c r="M163" s="2" t="s">
        <v>88</v>
      </c>
      <c r="N163" s="2" t="s">
        <v>118</v>
      </c>
      <c r="O163" s="2" t="s">
        <v>117</v>
      </c>
      <c r="P163" s="2" t="s">
        <v>111</v>
      </c>
      <c r="Q163" s="31" t="s">
        <v>133</v>
      </c>
      <c r="R163" s="2" t="s">
        <v>117</v>
      </c>
      <c r="S163" s="2" t="s">
        <v>120</v>
      </c>
      <c r="T163" s="20">
        <v>46143</v>
      </c>
      <c r="U163" s="32">
        <v>2</v>
      </c>
      <c r="V163" s="32">
        <v>1</v>
      </c>
      <c r="W163" s="22">
        <f t="shared" si="34"/>
        <v>1</v>
      </c>
      <c r="X163" s="22">
        <v>6148</v>
      </c>
      <c r="Y163" s="23">
        <f t="shared" si="35"/>
        <v>7254.82437386322</v>
      </c>
      <c r="Z163" s="24">
        <f t="shared" si="36"/>
        <v>1180.0299892425537</v>
      </c>
      <c r="AA163" s="30">
        <v>881.489990234375</v>
      </c>
      <c r="AB163" s="30">
        <v>279.02999877929688</v>
      </c>
      <c r="AC163" s="30">
        <v>19.510000228881836</v>
      </c>
      <c r="AD163" s="25">
        <f t="shared" si="37"/>
        <v>0</v>
      </c>
      <c r="AE163" s="26">
        <f t="shared" si="38"/>
        <v>0</v>
      </c>
      <c r="AF163" s="26">
        <f t="shared" si="39"/>
        <v>0</v>
      </c>
      <c r="AG163" s="26">
        <f t="shared" si="40"/>
        <v>0</v>
      </c>
      <c r="AH163" s="25">
        <f t="shared" si="41"/>
        <v>0</v>
      </c>
      <c r="AI163" s="25">
        <f t="shared" si="42"/>
        <v>0</v>
      </c>
      <c r="AJ163" s="25">
        <f t="shared" si="43"/>
        <v>0</v>
      </c>
      <c r="AK163" s="25">
        <f t="shared" si="44"/>
        <v>0</v>
      </c>
      <c r="BA163" s="34">
        <f t="shared" si="45"/>
        <v>5419400.4599609375</v>
      </c>
      <c r="BB163" s="34">
        <f t="shared" si="46"/>
        <v>1715476.4324951172</v>
      </c>
      <c r="BC163" s="34">
        <f t="shared" si="47"/>
        <v>119947.48140716553</v>
      </c>
    </row>
    <row r="164" spans="2:55">
      <c r="B164" s="2" t="s">
        <v>66</v>
      </c>
      <c r="C164" s="2" t="s">
        <v>67</v>
      </c>
      <c r="D164" s="2" t="s">
        <v>81</v>
      </c>
      <c r="E164" s="2" t="s">
        <v>79</v>
      </c>
      <c r="F164" s="2" t="s">
        <v>68</v>
      </c>
      <c r="G164" s="2" t="s">
        <v>80</v>
      </c>
      <c r="H164" s="2" t="s">
        <v>134</v>
      </c>
      <c r="I164" s="2" t="s">
        <v>117</v>
      </c>
      <c r="J164" s="2" t="s">
        <v>117</v>
      </c>
      <c r="K164" s="2" t="s">
        <v>69</v>
      </c>
      <c r="L164" s="2" t="s">
        <v>97</v>
      </c>
      <c r="M164" s="2" t="s">
        <v>88</v>
      </c>
      <c r="N164" s="2" t="s">
        <v>118</v>
      </c>
      <c r="O164" s="2" t="s">
        <v>117</v>
      </c>
      <c r="P164" s="2" t="s">
        <v>111</v>
      </c>
      <c r="Q164" s="31">
        <v>0</v>
      </c>
      <c r="R164" s="2" t="s">
        <v>117</v>
      </c>
      <c r="S164" s="2" t="s">
        <v>120</v>
      </c>
      <c r="T164" s="20">
        <v>46143</v>
      </c>
      <c r="U164" s="32">
        <v>2</v>
      </c>
      <c r="V164" s="32">
        <v>1</v>
      </c>
      <c r="W164" s="22">
        <f t="shared" si="34"/>
        <v>1</v>
      </c>
      <c r="X164" s="22">
        <v>48278</v>
      </c>
      <c r="Y164" s="23">
        <f t="shared" si="35"/>
        <v>80068.581590194706</v>
      </c>
      <c r="Z164" s="24">
        <f t="shared" si="36"/>
        <v>1658.4900283813477</v>
      </c>
      <c r="AA164" s="30">
        <v>1424.280029296875</v>
      </c>
      <c r="AB164" s="30">
        <v>157.72999572753906</v>
      </c>
      <c r="AC164" s="30">
        <v>76.480003356933594</v>
      </c>
      <c r="AD164" s="25">
        <f t="shared" si="37"/>
        <v>0</v>
      </c>
      <c r="AE164" s="26">
        <f t="shared" si="38"/>
        <v>0</v>
      </c>
      <c r="AF164" s="26">
        <f t="shared" si="39"/>
        <v>0</v>
      </c>
      <c r="AG164" s="26">
        <f t="shared" si="40"/>
        <v>0</v>
      </c>
      <c r="AH164" s="25">
        <f t="shared" si="41"/>
        <v>0</v>
      </c>
      <c r="AI164" s="25">
        <f t="shared" si="42"/>
        <v>0</v>
      </c>
      <c r="AJ164" s="25">
        <f t="shared" si="43"/>
        <v>0</v>
      </c>
      <c r="AK164" s="25">
        <f t="shared" si="44"/>
        <v>0</v>
      </c>
      <c r="BA164" s="34">
        <f t="shared" si="45"/>
        <v>68761391.254394531</v>
      </c>
      <c r="BB164" s="34">
        <f t="shared" si="46"/>
        <v>7614888.7337341309</v>
      </c>
      <c r="BC164" s="34">
        <f t="shared" si="47"/>
        <v>3692301.60206604</v>
      </c>
    </row>
    <row r="165" spans="2:55">
      <c r="B165" s="2" t="s">
        <v>66</v>
      </c>
      <c r="C165" s="2" t="s">
        <v>67</v>
      </c>
      <c r="D165" s="2" t="s">
        <v>81</v>
      </c>
      <c r="E165" s="2" t="s">
        <v>79</v>
      </c>
      <c r="F165" s="2" t="s">
        <v>68</v>
      </c>
      <c r="G165" s="2" t="s">
        <v>80</v>
      </c>
      <c r="H165" s="2" t="s">
        <v>135</v>
      </c>
      <c r="I165" s="2" t="s">
        <v>117</v>
      </c>
      <c r="J165" s="2" t="s">
        <v>117</v>
      </c>
      <c r="K165" s="2" t="s">
        <v>69</v>
      </c>
      <c r="L165" s="2" t="s">
        <v>97</v>
      </c>
      <c r="M165" s="2" t="s">
        <v>88</v>
      </c>
      <c r="N165" s="2" t="s">
        <v>118</v>
      </c>
      <c r="O165" s="2" t="s">
        <v>117</v>
      </c>
      <c r="P165" s="2" t="s">
        <v>111</v>
      </c>
      <c r="Q165" s="31">
        <v>0</v>
      </c>
      <c r="R165" s="2" t="s">
        <v>117</v>
      </c>
      <c r="S165" s="2" t="s">
        <v>120</v>
      </c>
      <c r="T165" s="20">
        <v>46143</v>
      </c>
      <c r="U165" s="32">
        <v>2</v>
      </c>
      <c r="V165" s="32">
        <v>1</v>
      </c>
      <c r="W165" s="22">
        <f t="shared" si="34"/>
        <v>1</v>
      </c>
      <c r="X165" s="22">
        <v>21814</v>
      </c>
      <c r="Y165" s="23">
        <f t="shared" si="35"/>
        <v>25873.803886169433</v>
      </c>
      <c r="Z165" s="24">
        <f t="shared" si="36"/>
        <v>1186.1100158691406</v>
      </c>
      <c r="AA165" s="30">
        <v>862.71002197265625</v>
      </c>
      <c r="AB165" s="30">
        <v>225.30999755859375</v>
      </c>
      <c r="AC165" s="30">
        <v>98.089996337890625</v>
      </c>
      <c r="AD165" s="25">
        <f t="shared" si="37"/>
        <v>0</v>
      </c>
      <c r="AE165" s="26">
        <f t="shared" si="38"/>
        <v>0</v>
      </c>
      <c r="AF165" s="26">
        <f t="shared" si="39"/>
        <v>0</v>
      </c>
      <c r="AG165" s="26">
        <f t="shared" si="40"/>
        <v>0</v>
      </c>
      <c r="AH165" s="25">
        <f t="shared" si="41"/>
        <v>0</v>
      </c>
      <c r="AI165" s="25">
        <f t="shared" si="42"/>
        <v>0</v>
      </c>
      <c r="AJ165" s="25">
        <f t="shared" si="43"/>
        <v>0</v>
      </c>
      <c r="AK165" s="25">
        <f t="shared" si="44"/>
        <v>0</v>
      </c>
      <c r="BA165" s="34">
        <f t="shared" si="45"/>
        <v>18819156.419311523</v>
      </c>
      <c r="BB165" s="34">
        <f t="shared" si="46"/>
        <v>4914912.2867431641</v>
      </c>
      <c r="BC165" s="34">
        <f t="shared" si="47"/>
        <v>2139735.1801147461</v>
      </c>
    </row>
    <row r="166" spans="2:55">
      <c r="B166" s="2" t="s">
        <v>66</v>
      </c>
      <c r="C166" s="2" t="s">
        <v>67</v>
      </c>
      <c r="D166" s="2" t="s">
        <v>81</v>
      </c>
      <c r="E166" s="2" t="s">
        <v>79</v>
      </c>
      <c r="F166" s="2" t="s">
        <v>68</v>
      </c>
      <c r="G166" s="28" t="s">
        <v>80</v>
      </c>
      <c r="H166" s="2" t="s">
        <v>117</v>
      </c>
      <c r="I166" s="2" t="s">
        <v>117</v>
      </c>
      <c r="J166" s="2" t="s">
        <v>117</v>
      </c>
      <c r="K166" s="2" t="s">
        <v>69</v>
      </c>
      <c r="L166" s="2" t="s">
        <v>97</v>
      </c>
      <c r="M166" s="2" t="s">
        <v>89</v>
      </c>
      <c r="N166" s="2" t="s">
        <v>119</v>
      </c>
      <c r="O166" s="2" t="s">
        <v>117</v>
      </c>
      <c r="P166" s="2" t="s">
        <v>111</v>
      </c>
      <c r="Q166" s="31" t="s">
        <v>131</v>
      </c>
      <c r="R166" s="2" t="s">
        <v>117</v>
      </c>
      <c r="S166" s="2" t="s">
        <v>120</v>
      </c>
      <c r="T166" s="20">
        <v>46143</v>
      </c>
      <c r="U166" s="32">
        <v>2</v>
      </c>
      <c r="V166" s="32">
        <v>1</v>
      </c>
      <c r="W166" s="22">
        <f t="shared" si="34"/>
        <v>1</v>
      </c>
      <c r="X166" s="22">
        <v>18129</v>
      </c>
      <c r="Y166" s="23">
        <f t="shared" si="35"/>
        <v>29155.783336212156</v>
      </c>
      <c r="Z166" s="24">
        <f t="shared" si="36"/>
        <v>1608.2400207519531</v>
      </c>
      <c r="AA166" s="30">
        <v>1460.9000244140625</v>
      </c>
      <c r="AB166" s="30">
        <v>53.389999389648438</v>
      </c>
      <c r="AC166" s="30">
        <v>93.949996948242188</v>
      </c>
      <c r="AD166" s="25">
        <f t="shared" si="37"/>
        <v>0</v>
      </c>
      <c r="AE166" s="26">
        <f t="shared" si="38"/>
        <v>0</v>
      </c>
      <c r="AF166" s="26">
        <f t="shared" si="39"/>
        <v>0</v>
      </c>
      <c r="AG166" s="26">
        <f t="shared" si="40"/>
        <v>0</v>
      </c>
      <c r="AH166" s="25">
        <f t="shared" si="41"/>
        <v>0</v>
      </c>
      <c r="AI166" s="25">
        <f t="shared" si="42"/>
        <v>0</v>
      </c>
      <c r="AJ166" s="25">
        <f t="shared" si="43"/>
        <v>0</v>
      </c>
      <c r="AK166" s="25">
        <f t="shared" si="44"/>
        <v>0</v>
      </c>
      <c r="BA166" s="34">
        <f t="shared" si="45"/>
        <v>26484656.542602539</v>
      </c>
      <c r="BB166" s="34">
        <f t="shared" si="46"/>
        <v>967907.29893493652</v>
      </c>
      <c r="BC166" s="34">
        <f t="shared" si="47"/>
        <v>1703219.4946746826</v>
      </c>
    </row>
    <row r="167" spans="2:55">
      <c r="B167" s="2" t="s">
        <v>66</v>
      </c>
      <c r="C167" s="2" t="s">
        <v>67</v>
      </c>
      <c r="D167" s="2" t="s">
        <v>81</v>
      </c>
      <c r="E167" s="2" t="s">
        <v>79</v>
      </c>
      <c r="F167" s="2" t="s">
        <v>68</v>
      </c>
      <c r="G167" s="28" t="s">
        <v>80</v>
      </c>
      <c r="H167" s="2" t="s">
        <v>117</v>
      </c>
      <c r="I167" s="2" t="s">
        <v>117</v>
      </c>
      <c r="J167" s="2" t="s">
        <v>117</v>
      </c>
      <c r="K167" s="2" t="s">
        <v>69</v>
      </c>
      <c r="L167" s="2" t="s">
        <v>97</v>
      </c>
      <c r="M167" s="2" t="s">
        <v>89</v>
      </c>
      <c r="N167" s="2" t="s">
        <v>119</v>
      </c>
      <c r="O167" s="2" t="s">
        <v>117</v>
      </c>
      <c r="P167" s="2" t="s">
        <v>111</v>
      </c>
      <c r="Q167" s="31" t="s">
        <v>132</v>
      </c>
      <c r="R167" s="2" t="s">
        <v>117</v>
      </c>
      <c r="S167" s="2" t="s">
        <v>120</v>
      </c>
      <c r="T167" s="20">
        <v>46143</v>
      </c>
      <c r="U167" s="32">
        <v>2</v>
      </c>
      <c r="V167" s="32">
        <v>1</v>
      </c>
      <c r="W167" s="22">
        <f t="shared" si="34"/>
        <v>1</v>
      </c>
      <c r="X167" s="22">
        <v>909</v>
      </c>
      <c r="Y167" s="23">
        <f t="shared" si="35"/>
        <v>1271.8455144653321</v>
      </c>
      <c r="Z167" s="24">
        <f t="shared" si="36"/>
        <v>1399.1699829101563</v>
      </c>
      <c r="AA167" s="30">
        <v>1211.8599853515625</v>
      </c>
      <c r="AB167" s="30">
        <v>118.58999633789063</v>
      </c>
      <c r="AC167" s="30">
        <v>68.720001220703125</v>
      </c>
      <c r="AD167" s="25">
        <f t="shared" si="37"/>
        <v>0</v>
      </c>
      <c r="AE167" s="26">
        <f t="shared" si="38"/>
        <v>0</v>
      </c>
      <c r="AF167" s="26">
        <f t="shared" si="39"/>
        <v>0</v>
      </c>
      <c r="AG167" s="26">
        <f t="shared" si="40"/>
        <v>0</v>
      </c>
      <c r="AH167" s="25">
        <f t="shared" si="41"/>
        <v>0</v>
      </c>
      <c r="AI167" s="25">
        <f t="shared" si="42"/>
        <v>0</v>
      </c>
      <c r="AJ167" s="25">
        <f t="shared" si="43"/>
        <v>0</v>
      </c>
      <c r="AK167" s="25">
        <f t="shared" si="44"/>
        <v>0</v>
      </c>
      <c r="BA167" s="34">
        <f t="shared" si="45"/>
        <v>1101580.7266845703</v>
      </c>
      <c r="BB167" s="34">
        <f t="shared" si="46"/>
        <v>107798.30667114258</v>
      </c>
      <c r="BC167" s="34">
        <f t="shared" si="47"/>
        <v>62466.481109619141</v>
      </c>
    </row>
    <row r="168" spans="2:55">
      <c r="B168" s="2" t="s">
        <v>66</v>
      </c>
      <c r="C168" s="2" t="s">
        <v>67</v>
      </c>
      <c r="D168" s="2" t="s">
        <v>81</v>
      </c>
      <c r="E168" s="2" t="s">
        <v>79</v>
      </c>
      <c r="F168" s="2" t="s">
        <v>68</v>
      </c>
      <c r="G168" s="28" t="s">
        <v>80</v>
      </c>
      <c r="H168" s="2" t="s">
        <v>117</v>
      </c>
      <c r="I168" s="2" t="s">
        <v>117</v>
      </c>
      <c r="J168" s="2" t="s">
        <v>117</v>
      </c>
      <c r="K168" s="2" t="s">
        <v>69</v>
      </c>
      <c r="L168" s="2" t="s">
        <v>97</v>
      </c>
      <c r="M168" s="2" t="s">
        <v>89</v>
      </c>
      <c r="N168" s="2" t="s">
        <v>119</v>
      </c>
      <c r="O168" s="2" t="s">
        <v>117</v>
      </c>
      <c r="P168" s="2" t="s">
        <v>111</v>
      </c>
      <c r="Q168" s="31" t="s">
        <v>133</v>
      </c>
      <c r="R168" s="2" t="s">
        <v>117</v>
      </c>
      <c r="S168" s="2" t="s">
        <v>120</v>
      </c>
      <c r="T168" s="20">
        <v>46143</v>
      </c>
      <c r="U168" s="32">
        <v>2</v>
      </c>
      <c r="V168" s="32">
        <v>1</v>
      </c>
      <c r="W168" s="22">
        <f t="shared" si="34"/>
        <v>1</v>
      </c>
      <c r="X168" s="22">
        <v>41313</v>
      </c>
      <c r="Y168" s="23">
        <f t="shared" si="35"/>
        <v>44393.298124717716</v>
      </c>
      <c r="Z168" s="24">
        <f t="shared" si="36"/>
        <v>1074.5600204467773</v>
      </c>
      <c r="AA168" s="30">
        <v>950.02001953125</v>
      </c>
      <c r="AB168" s="30">
        <v>100.93000030517578</v>
      </c>
      <c r="AC168" s="30">
        <v>23.610000610351563</v>
      </c>
      <c r="AD168" s="25">
        <f t="shared" si="37"/>
        <v>0</v>
      </c>
      <c r="AE168" s="26">
        <f t="shared" si="38"/>
        <v>0</v>
      </c>
      <c r="AF168" s="26">
        <f t="shared" si="39"/>
        <v>0</v>
      </c>
      <c r="AG168" s="26">
        <f t="shared" si="40"/>
        <v>0</v>
      </c>
      <c r="AH168" s="25">
        <f t="shared" si="41"/>
        <v>0</v>
      </c>
      <c r="AI168" s="25">
        <f t="shared" si="42"/>
        <v>0</v>
      </c>
      <c r="AJ168" s="25">
        <f t="shared" si="43"/>
        <v>0</v>
      </c>
      <c r="AK168" s="25">
        <f t="shared" si="44"/>
        <v>0</v>
      </c>
      <c r="BA168" s="34">
        <f t="shared" si="45"/>
        <v>39248177.066894531</v>
      </c>
      <c r="BB168" s="34">
        <f t="shared" si="46"/>
        <v>4169721.1026077271</v>
      </c>
      <c r="BC168" s="34">
        <f t="shared" si="47"/>
        <v>975399.9552154541</v>
      </c>
    </row>
    <row r="169" spans="2:55">
      <c r="B169" s="2" t="s">
        <v>66</v>
      </c>
      <c r="C169" s="2" t="s">
        <v>67</v>
      </c>
      <c r="D169" s="2" t="s">
        <v>81</v>
      </c>
      <c r="E169" s="2" t="s">
        <v>79</v>
      </c>
      <c r="F169" s="2" t="s">
        <v>68</v>
      </c>
      <c r="G169" s="28" t="s">
        <v>80</v>
      </c>
      <c r="H169" s="2" t="s">
        <v>134</v>
      </c>
      <c r="I169" s="2" t="s">
        <v>117</v>
      </c>
      <c r="J169" s="2" t="s">
        <v>117</v>
      </c>
      <c r="K169" s="2" t="s">
        <v>69</v>
      </c>
      <c r="L169" s="2" t="s">
        <v>97</v>
      </c>
      <c r="M169" s="2" t="s">
        <v>89</v>
      </c>
      <c r="N169" s="2" t="s">
        <v>119</v>
      </c>
      <c r="O169" s="2" t="s">
        <v>117</v>
      </c>
      <c r="P169" s="2" t="s">
        <v>111</v>
      </c>
      <c r="Q169" s="31">
        <v>0</v>
      </c>
      <c r="R169" s="2" t="s">
        <v>117</v>
      </c>
      <c r="S169" s="2" t="s">
        <v>120</v>
      </c>
      <c r="T169" s="20">
        <v>46143</v>
      </c>
      <c r="U169" s="32">
        <v>2</v>
      </c>
      <c r="V169" s="32">
        <v>1</v>
      </c>
      <c r="W169" s="22">
        <f t="shared" si="34"/>
        <v>1</v>
      </c>
      <c r="X169" s="22">
        <v>15625</v>
      </c>
      <c r="Y169" s="23">
        <f t="shared" si="35"/>
        <v>25062.343120574951</v>
      </c>
      <c r="Z169" s="24">
        <f t="shared" si="36"/>
        <v>1603.9899597167969</v>
      </c>
      <c r="AA169" s="30">
        <v>1263.7099609375</v>
      </c>
      <c r="AB169" s="30">
        <v>257.27999877929688</v>
      </c>
      <c r="AC169" s="30">
        <v>83</v>
      </c>
      <c r="AD169" s="25">
        <f t="shared" si="37"/>
        <v>0</v>
      </c>
      <c r="AE169" s="26">
        <f t="shared" si="38"/>
        <v>0</v>
      </c>
      <c r="AF169" s="26">
        <f t="shared" si="39"/>
        <v>0</v>
      </c>
      <c r="AG169" s="26">
        <f t="shared" si="40"/>
        <v>0</v>
      </c>
      <c r="AH169" s="25">
        <f t="shared" si="41"/>
        <v>0</v>
      </c>
      <c r="AI169" s="25">
        <f t="shared" si="42"/>
        <v>0</v>
      </c>
      <c r="AJ169" s="25">
        <f t="shared" si="43"/>
        <v>0</v>
      </c>
      <c r="AK169" s="25">
        <f t="shared" si="44"/>
        <v>0</v>
      </c>
      <c r="BA169" s="34">
        <f t="shared" si="45"/>
        <v>19745468.139648438</v>
      </c>
      <c r="BB169" s="34">
        <f t="shared" si="46"/>
        <v>4019999.9809265137</v>
      </c>
      <c r="BC169" s="34">
        <f t="shared" si="47"/>
        <v>1296875</v>
      </c>
    </row>
    <row r="170" spans="2:55">
      <c r="B170" s="2" t="s">
        <v>66</v>
      </c>
      <c r="C170" s="2" t="s">
        <v>67</v>
      </c>
      <c r="D170" s="2" t="s">
        <v>81</v>
      </c>
      <c r="E170" s="2" t="s">
        <v>79</v>
      </c>
      <c r="F170" s="2" t="s">
        <v>68</v>
      </c>
      <c r="G170" s="28" t="s">
        <v>80</v>
      </c>
      <c r="H170" s="2" t="s">
        <v>135</v>
      </c>
      <c r="I170" s="2" t="s">
        <v>117</v>
      </c>
      <c r="J170" s="2" t="s">
        <v>117</v>
      </c>
      <c r="K170" s="2" t="s">
        <v>69</v>
      </c>
      <c r="L170" s="2" t="s">
        <v>97</v>
      </c>
      <c r="M170" s="2" t="s">
        <v>89</v>
      </c>
      <c r="N170" s="2" t="s">
        <v>119</v>
      </c>
      <c r="O170" s="2" t="s">
        <v>117</v>
      </c>
      <c r="P170" s="2" t="s">
        <v>111</v>
      </c>
      <c r="Q170" s="31">
        <v>0</v>
      </c>
      <c r="R170" s="2" t="s">
        <v>117</v>
      </c>
      <c r="S170" s="2" t="s">
        <v>120</v>
      </c>
      <c r="T170" s="20">
        <v>46143</v>
      </c>
      <c r="U170" s="32">
        <v>2</v>
      </c>
      <c r="V170" s="32">
        <v>1</v>
      </c>
      <c r="W170" s="22">
        <f t="shared" si="34"/>
        <v>1</v>
      </c>
      <c r="X170" s="22">
        <v>15413</v>
      </c>
      <c r="Y170" s="23">
        <f t="shared" si="35"/>
        <v>21939.943893161773</v>
      </c>
      <c r="Z170" s="24">
        <f t="shared" si="36"/>
        <v>1423.4700508117676</v>
      </c>
      <c r="AA170" s="30">
        <v>1207.6700439453125</v>
      </c>
      <c r="AB170" s="30">
        <v>169.82000732421875</v>
      </c>
      <c r="AC170" s="30">
        <v>45.979999542236328</v>
      </c>
      <c r="AD170" s="25">
        <f t="shared" si="37"/>
        <v>0</v>
      </c>
      <c r="AE170" s="26">
        <f t="shared" si="38"/>
        <v>0</v>
      </c>
      <c r="AF170" s="26">
        <f t="shared" si="39"/>
        <v>0</v>
      </c>
      <c r="AG170" s="26">
        <f t="shared" si="40"/>
        <v>0</v>
      </c>
      <c r="AH170" s="25">
        <f t="shared" si="41"/>
        <v>0</v>
      </c>
      <c r="AI170" s="25">
        <f t="shared" si="42"/>
        <v>0</v>
      </c>
      <c r="AJ170" s="25">
        <f t="shared" si="43"/>
        <v>0</v>
      </c>
      <c r="AK170" s="25">
        <f t="shared" si="44"/>
        <v>0</v>
      </c>
      <c r="BA170" s="34">
        <f t="shared" si="45"/>
        <v>18613818.387329102</v>
      </c>
      <c r="BB170" s="34">
        <f t="shared" si="46"/>
        <v>2617435.7728881836</v>
      </c>
      <c r="BC170" s="34">
        <f t="shared" si="47"/>
        <v>708689.73294448853</v>
      </c>
    </row>
    <row r="171" spans="2:55">
      <c r="B171" s="2" t="s">
        <v>66</v>
      </c>
      <c r="C171" s="2" t="s">
        <v>67</v>
      </c>
      <c r="D171" s="2" t="s">
        <v>81</v>
      </c>
      <c r="E171" s="2" t="s">
        <v>79</v>
      </c>
      <c r="F171" s="2" t="s">
        <v>68</v>
      </c>
      <c r="G171" s="28" t="s">
        <v>80</v>
      </c>
      <c r="H171" s="2" t="s">
        <v>117</v>
      </c>
      <c r="I171" s="2" t="s">
        <v>117</v>
      </c>
      <c r="J171" s="2" t="s">
        <v>117</v>
      </c>
      <c r="K171" s="2" t="s">
        <v>69</v>
      </c>
      <c r="L171" s="2" t="s">
        <v>98</v>
      </c>
      <c r="M171" s="2" t="s">
        <v>85</v>
      </c>
      <c r="N171" s="2" t="s">
        <v>112</v>
      </c>
      <c r="O171" s="2" t="s">
        <v>117</v>
      </c>
      <c r="P171" s="2" t="s">
        <v>111</v>
      </c>
      <c r="Q171" s="31">
        <v>0</v>
      </c>
      <c r="R171" s="2" t="s">
        <v>117</v>
      </c>
      <c r="S171" s="2" t="s">
        <v>120</v>
      </c>
      <c r="T171" s="20">
        <v>46143</v>
      </c>
      <c r="U171" s="32">
        <v>2</v>
      </c>
      <c r="V171" s="32">
        <v>1</v>
      </c>
      <c r="W171" s="22">
        <f t="shared" si="34"/>
        <v>1</v>
      </c>
      <c r="X171" s="22">
        <v>20185</v>
      </c>
      <c r="Y171" s="23">
        <f t="shared" si="35"/>
        <v>31243.554959316254</v>
      </c>
      <c r="Z171" s="24">
        <f t="shared" si="36"/>
        <v>1547.8600425720215</v>
      </c>
      <c r="AA171" s="30">
        <v>1215.530029296875</v>
      </c>
      <c r="AB171" s="30">
        <v>269.45001220703125</v>
      </c>
      <c r="AC171" s="30">
        <v>62.880001068115234</v>
      </c>
      <c r="AD171" s="25">
        <f t="shared" si="37"/>
        <v>0</v>
      </c>
      <c r="AE171" s="26">
        <f t="shared" si="38"/>
        <v>0</v>
      </c>
      <c r="AF171" s="26">
        <f t="shared" si="39"/>
        <v>0</v>
      </c>
      <c r="AG171" s="26">
        <f t="shared" si="40"/>
        <v>0</v>
      </c>
      <c r="AH171" s="25">
        <f t="shared" si="41"/>
        <v>0</v>
      </c>
      <c r="AI171" s="25">
        <f t="shared" si="42"/>
        <v>0</v>
      </c>
      <c r="AJ171" s="25">
        <f t="shared" si="43"/>
        <v>0</v>
      </c>
      <c r="AK171" s="25">
        <f t="shared" si="44"/>
        <v>0</v>
      </c>
      <c r="BA171" s="34">
        <f t="shared" si="45"/>
        <v>24535473.641357422</v>
      </c>
      <c r="BB171" s="34">
        <f t="shared" si="46"/>
        <v>5438848.4963989258</v>
      </c>
      <c r="BC171" s="34">
        <f t="shared" si="47"/>
        <v>1269232.821559906</v>
      </c>
    </row>
    <row r="172" spans="2:55">
      <c r="B172" s="2" t="s">
        <v>66</v>
      </c>
      <c r="C172" s="2" t="s">
        <v>67</v>
      </c>
      <c r="D172" s="2" t="s">
        <v>81</v>
      </c>
      <c r="E172" s="2" t="s">
        <v>79</v>
      </c>
      <c r="F172" s="2" t="s">
        <v>68</v>
      </c>
      <c r="G172" s="28" t="s">
        <v>80</v>
      </c>
      <c r="H172" s="2" t="s">
        <v>117</v>
      </c>
      <c r="I172" s="2" t="s">
        <v>117</v>
      </c>
      <c r="J172" s="2" t="s">
        <v>136</v>
      </c>
      <c r="K172" s="2" t="s">
        <v>69</v>
      </c>
      <c r="L172" s="2" t="s">
        <v>98</v>
      </c>
      <c r="M172" s="2" t="s">
        <v>85</v>
      </c>
      <c r="N172" s="2" t="s">
        <v>112</v>
      </c>
      <c r="O172" s="2" t="s">
        <v>117</v>
      </c>
      <c r="P172" s="2" t="s">
        <v>111</v>
      </c>
      <c r="Q172" s="31">
        <v>0</v>
      </c>
      <c r="R172" s="2" t="s">
        <v>117</v>
      </c>
      <c r="S172" s="2" t="s">
        <v>120</v>
      </c>
      <c r="T172" s="20">
        <v>46143</v>
      </c>
      <c r="U172" s="32">
        <v>2</v>
      </c>
      <c r="V172" s="32">
        <v>1</v>
      </c>
      <c r="W172" s="22">
        <f t="shared" si="34"/>
        <v>1</v>
      </c>
      <c r="X172" s="22">
        <v>32544</v>
      </c>
      <c r="Y172" s="23">
        <f t="shared" si="35"/>
        <v>51532.121341186525</v>
      </c>
      <c r="Z172" s="24">
        <f t="shared" si="36"/>
        <v>1583.4599723815918</v>
      </c>
      <c r="AA172" s="30">
        <v>1412.3399658203125</v>
      </c>
      <c r="AB172" s="30">
        <v>134.24000549316406</v>
      </c>
      <c r="AC172" s="30">
        <v>36.880001068115234</v>
      </c>
      <c r="AD172" s="25">
        <f t="shared" si="37"/>
        <v>0</v>
      </c>
      <c r="AE172" s="26">
        <f t="shared" si="38"/>
        <v>0</v>
      </c>
      <c r="AF172" s="26">
        <f t="shared" si="39"/>
        <v>0</v>
      </c>
      <c r="AG172" s="26">
        <f t="shared" si="40"/>
        <v>0</v>
      </c>
      <c r="AH172" s="25">
        <f t="shared" si="41"/>
        <v>0</v>
      </c>
      <c r="AI172" s="25">
        <f t="shared" si="42"/>
        <v>0</v>
      </c>
      <c r="AJ172" s="25">
        <f t="shared" si="43"/>
        <v>0</v>
      </c>
      <c r="AK172" s="25">
        <f t="shared" si="44"/>
        <v>0</v>
      </c>
      <c r="BA172" s="34">
        <f t="shared" si="45"/>
        <v>45963191.84765625</v>
      </c>
      <c r="BB172" s="34">
        <f t="shared" si="46"/>
        <v>4368706.7387695313</v>
      </c>
      <c r="BC172" s="34">
        <f t="shared" si="47"/>
        <v>1200222.7547607422</v>
      </c>
    </row>
    <row r="173" spans="2:55">
      <c r="B173" s="2" t="s">
        <v>66</v>
      </c>
      <c r="C173" s="2" t="s">
        <v>67</v>
      </c>
      <c r="D173" s="2" t="s">
        <v>81</v>
      </c>
      <c r="E173" s="2" t="s">
        <v>79</v>
      </c>
      <c r="F173" s="2" t="s">
        <v>68</v>
      </c>
      <c r="G173" s="28" t="s">
        <v>80</v>
      </c>
      <c r="H173" s="2" t="s">
        <v>117</v>
      </c>
      <c r="I173" s="2" t="s">
        <v>117</v>
      </c>
      <c r="J173" s="2" t="s">
        <v>117</v>
      </c>
      <c r="K173" s="2" t="s">
        <v>69</v>
      </c>
      <c r="L173" s="2" t="s">
        <v>98</v>
      </c>
      <c r="M173" s="2" t="s">
        <v>86</v>
      </c>
      <c r="N173" s="2" t="s">
        <v>113</v>
      </c>
      <c r="O173" s="2" t="s">
        <v>117</v>
      </c>
      <c r="P173" s="2" t="s">
        <v>111</v>
      </c>
      <c r="Q173" s="31">
        <v>0</v>
      </c>
      <c r="R173" s="2" t="s">
        <v>117</v>
      </c>
      <c r="S173" s="2" t="s">
        <v>120</v>
      </c>
      <c r="T173" s="20">
        <v>46143</v>
      </c>
      <c r="U173" s="32">
        <v>2</v>
      </c>
      <c r="V173" s="32">
        <v>1</v>
      </c>
      <c r="W173" s="22">
        <f t="shared" si="34"/>
        <v>1</v>
      </c>
      <c r="X173" s="22">
        <v>25844</v>
      </c>
      <c r="Y173" s="23">
        <f t="shared" si="35"/>
        <v>29475.082197174073</v>
      </c>
      <c r="Z173" s="24">
        <f t="shared" si="36"/>
        <v>1140.5000076293945</v>
      </c>
      <c r="AA173" s="30">
        <v>927.07000732421875</v>
      </c>
      <c r="AB173" s="30">
        <v>162.86000061035156</v>
      </c>
      <c r="AC173" s="30">
        <v>50.569999694824219</v>
      </c>
      <c r="AD173" s="25">
        <f t="shared" si="37"/>
        <v>0</v>
      </c>
      <c r="AE173" s="26">
        <f t="shared" si="38"/>
        <v>0</v>
      </c>
      <c r="AF173" s="26">
        <f t="shared" si="39"/>
        <v>0</v>
      </c>
      <c r="AG173" s="26">
        <f t="shared" si="40"/>
        <v>0</v>
      </c>
      <c r="AH173" s="25">
        <f t="shared" si="41"/>
        <v>0</v>
      </c>
      <c r="AI173" s="25">
        <f t="shared" si="42"/>
        <v>0</v>
      </c>
      <c r="AJ173" s="25">
        <f t="shared" si="43"/>
        <v>0</v>
      </c>
      <c r="AK173" s="25">
        <f t="shared" si="44"/>
        <v>0</v>
      </c>
      <c r="BA173" s="34">
        <f t="shared" si="45"/>
        <v>23959197.269287109</v>
      </c>
      <c r="BB173" s="34">
        <f t="shared" si="46"/>
        <v>4208953.8557739258</v>
      </c>
      <c r="BC173" s="34">
        <f t="shared" si="47"/>
        <v>1306931.0721130371</v>
      </c>
    </row>
    <row r="174" spans="2:55">
      <c r="B174" s="2" t="s">
        <v>66</v>
      </c>
      <c r="C174" s="2" t="s">
        <v>67</v>
      </c>
      <c r="D174" s="2" t="s">
        <v>81</v>
      </c>
      <c r="E174" s="2" t="s">
        <v>79</v>
      </c>
      <c r="F174" s="2" t="s">
        <v>68</v>
      </c>
      <c r="G174" s="28" t="s">
        <v>80</v>
      </c>
      <c r="H174" s="2" t="s">
        <v>137</v>
      </c>
      <c r="I174" s="2" t="s">
        <v>117</v>
      </c>
      <c r="J174" s="2" t="s">
        <v>117</v>
      </c>
      <c r="K174" s="2" t="s">
        <v>69</v>
      </c>
      <c r="L174" s="2" t="s">
        <v>98</v>
      </c>
      <c r="M174" s="2" t="s">
        <v>86</v>
      </c>
      <c r="N174" s="2" t="s">
        <v>113</v>
      </c>
      <c r="O174" s="2" t="s">
        <v>117</v>
      </c>
      <c r="P174" s="2" t="s">
        <v>111</v>
      </c>
      <c r="Q174" s="31">
        <v>0</v>
      </c>
      <c r="R174" s="2" t="s">
        <v>117</v>
      </c>
      <c r="S174" s="2" t="s">
        <v>120</v>
      </c>
      <c r="T174" s="20">
        <v>46143</v>
      </c>
      <c r="U174" s="32">
        <v>2</v>
      </c>
      <c r="V174" s="32">
        <v>1</v>
      </c>
      <c r="W174" s="22">
        <f t="shared" si="34"/>
        <v>1</v>
      </c>
      <c r="X174" s="22">
        <v>4351</v>
      </c>
      <c r="Y174" s="23">
        <f t="shared" si="35"/>
        <v>6289.7183472995757</v>
      </c>
      <c r="Z174" s="24">
        <f t="shared" si="36"/>
        <v>1445.5799465179443</v>
      </c>
      <c r="AA174" s="30">
        <v>1405.0699462890625</v>
      </c>
      <c r="AB174" s="30">
        <v>23.040000915527344</v>
      </c>
      <c r="AC174" s="30">
        <v>17.469999313354492</v>
      </c>
      <c r="AD174" s="25">
        <f t="shared" si="37"/>
        <v>0</v>
      </c>
      <c r="AE174" s="26">
        <f t="shared" si="38"/>
        <v>0</v>
      </c>
      <c r="AF174" s="26">
        <f t="shared" si="39"/>
        <v>0</v>
      </c>
      <c r="AG174" s="26">
        <f t="shared" si="40"/>
        <v>0</v>
      </c>
      <c r="AH174" s="25">
        <f t="shared" si="41"/>
        <v>0</v>
      </c>
      <c r="AI174" s="25">
        <f t="shared" si="42"/>
        <v>0</v>
      </c>
      <c r="AJ174" s="25">
        <f t="shared" si="43"/>
        <v>0</v>
      </c>
      <c r="AK174" s="25">
        <f t="shared" si="44"/>
        <v>0</v>
      </c>
      <c r="BA174" s="34">
        <f t="shared" si="45"/>
        <v>6113459.3363037109</v>
      </c>
      <c r="BB174" s="34">
        <f t="shared" si="46"/>
        <v>100247.04398345947</v>
      </c>
      <c r="BC174" s="34">
        <f t="shared" si="47"/>
        <v>76011.967012405396</v>
      </c>
    </row>
    <row r="175" spans="2:55">
      <c r="B175" s="2" t="s">
        <v>66</v>
      </c>
      <c r="C175" s="2" t="s">
        <v>67</v>
      </c>
      <c r="D175" s="2" t="s">
        <v>81</v>
      </c>
      <c r="E175" s="2" t="s">
        <v>79</v>
      </c>
      <c r="F175" s="2" t="s">
        <v>68</v>
      </c>
      <c r="G175" s="28" t="s">
        <v>80</v>
      </c>
      <c r="H175" s="2" t="s">
        <v>117</v>
      </c>
      <c r="I175" s="2" t="s">
        <v>117</v>
      </c>
      <c r="J175" s="2" t="s">
        <v>117</v>
      </c>
      <c r="K175" s="2" t="s">
        <v>69</v>
      </c>
      <c r="L175" s="2" t="s">
        <v>98</v>
      </c>
      <c r="M175" s="2" t="s">
        <v>86</v>
      </c>
      <c r="N175" s="2" t="s">
        <v>114</v>
      </c>
      <c r="O175" s="2" t="s">
        <v>117</v>
      </c>
      <c r="P175" s="2" t="s">
        <v>111</v>
      </c>
      <c r="Q175" s="31">
        <v>0</v>
      </c>
      <c r="R175" s="2" t="s">
        <v>117</v>
      </c>
      <c r="S175" s="2" t="s">
        <v>120</v>
      </c>
      <c r="T175" s="20">
        <v>46143</v>
      </c>
      <c r="U175" s="32">
        <v>2</v>
      </c>
      <c r="V175" s="32">
        <v>1</v>
      </c>
      <c r="W175" s="22">
        <f t="shared" si="34"/>
        <v>1</v>
      </c>
      <c r="X175" s="22">
        <v>25890</v>
      </c>
      <c r="Y175" s="23">
        <f t="shared" si="35"/>
        <v>35060.496580009458</v>
      </c>
      <c r="Z175" s="24">
        <f t="shared" si="36"/>
        <v>1354.2099876403809</v>
      </c>
      <c r="AA175" s="30">
        <v>1120.6099853515625</v>
      </c>
      <c r="AB175" s="30">
        <v>174.97000122070313</v>
      </c>
      <c r="AC175" s="30">
        <v>58.630001068115234</v>
      </c>
      <c r="AD175" s="25">
        <f t="shared" si="37"/>
        <v>0</v>
      </c>
      <c r="AE175" s="26">
        <f t="shared" si="38"/>
        <v>0</v>
      </c>
      <c r="AF175" s="26">
        <f t="shared" si="39"/>
        <v>0</v>
      </c>
      <c r="AG175" s="26">
        <f t="shared" si="40"/>
        <v>0</v>
      </c>
      <c r="AH175" s="25">
        <f t="shared" si="41"/>
        <v>0</v>
      </c>
      <c r="AI175" s="25">
        <f t="shared" si="42"/>
        <v>0</v>
      </c>
      <c r="AJ175" s="25">
        <f t="shared" si="43"/>
        <v>0</v>
      </c>
      <c r="AK175" s="25">
        <f t="shared" si="44"/>
        <v>0</v>
      </c>
      <c r="BA175" s="34">
        <f t="shared" si="45"/>
        <v>29012592.520751953</v>
      </c>
      <c r="BB175" s="34">
        <f t="shared" si="46"/>
        <v>4529973.3316040039</v>
      </c>
      <c r="BC175" s="34">
        <f t="shared" si="47"/>
        <v>1517930.7276535034</v>
      </c>
    </row>
    <row r="176" spans="2:55">
      <c r="B176" s="2" t="s">
        <v>66</v>
      </c>
      <c r="C176" s="2" t="s">
        <v>67</v>
      </c>
      <c r="D176" s="2" t="s">
        <v>81</v>
      </c>
      <c r="E176" s="2" t="s">
        <v>79</v>
      </c>
      <c r="F176" s="2" t="s">
        <v>68</v>
      </c>
      <c r="G176" s="28" t="s">
        <v>80</v>
      </c>
      <c r="H176" s="2" t="s">
        <v>117</v>
      </c>
      <c r="I176" s="2" t="s">
        <v>117</v>
      </c>
      <c r="J176" s="2" t="s">
        <v>117</v>
      </c>
      <c r="K176" s="2" t="s">
        <v>69</v>
      </c>
      <c r="L176" s="2" t="s">
        <v>98</v>
      </c>
      <c r="M176" s="2" t="s">
        <v>86</v>
      </c>
      <c r="N176" s="2" t="s">
        <v>138</v>
      </c>
      <c r="O176" s="2" t="s">
        <v>117</v>
      </c>
      <c r="P176" s="2" t="s">
        <v>111</v>
      </c>
      <c r="Q176" s="31">
        <v>0</v>
      </c>
      <c r="R176" s="2" t="s">
        <v>117</v>
      </c>
      <c r="S176" s="2" t="s">
        <v>120</v>
      </c>
      <c r="T176" s="20">
        <v>46143</v>
      </c>
      <c r="U176" s="32">
        <v>2</v>
      </c>
      <c r="V176" s="32">
        <v>1</v>
      </c>
      <c r="W176" s="22">
        <f t="shared" si="34"/>
        <v>1</v>
      </c>
      <c r="X176" s="22">
        <v>37010</v>
      </c>
      <c r="Y176" s="23">
        <f t="shared" si="35"/>
        <v>54157.472818102833</v>
      </c>
      <c r="Z176" s="24">
        <f t="shared" si="36"/>
        <v>1463.3199896812439</v>
      </c>
      <c r="AA176" s="30">
        <v>1289.3599853515625</v>
      </c>
      <c r="AB176" s="30">
        <v>169.77000427246094</v>
      </c>
      <c r="AC176" s="30">
        <v>4.190000057220459</v>
      </c>
      <c r="AD176" s="25">
        <f t="shared" si="37"/>
        <v>0</v>
      </c>
      <c r="AE176" s="26">
        <f t="shared" si="38"/>
        <v>0</v>
      </c>
      <c r="AF176" s="26">
        <f t="shared" si="39"/>
        <v>0</v>
      </c>
      <c r="AG176" s="26">
        <f t="shared" si="40"/>
        <v>0</v>
      </c>
      <c r="AH176" s="25">
        <f t="shared" si="41"/>
        <v>0</v>
      </c>
      <c r="AI176" s="25">
        <f t="shared" si="42"/>
        <v>0</v>
      </c>
      <c r="AJ176" s="25">
        <f t="shared" si="43"/>
        <v>0</v>
      </c>
      <c r="AK176" s="25">
        <f t="shared" si="44"/>
        <v>0</v>
      </c>
      <c r="BA176" s="34">
        <f t="shared" si="45"/>
        <v>47719213.057861328</v>
      </c>
      <c r="BB176" s="34">
        <f t="shared" si="46"/>
        <v>6283187.8581237793</v>
      </c>
      <c r="BC176" s="34">
        <f t="shared" si="47"/>
        <v>155071.90211772919</v>
      </c>
    </row>
    <row r="177" spans="2:55">
      <c r="B177" s="2" t="s">
        <v>66</v>
      </c>
      <c r="C177" s="2" t="s">
        <v>67</v>
      </c>
      <c r="D177" s="2" t="s">
        <v>81</v>
      </c>
      <c r="E177" s="33" t="s">
        <v>79</v>
      </c>
      <c r="F177" s="2" t="s">
        <v>68</v>
      </c>
      <c r="G177" s="2" t="s">
        <v>80</v>
      </c>
      <c r="H177" s="2" t="s">
        <v>117</v>
      </c>
      <c r="I177" s="2" t="s">
        <v>117</v>
      </c>
      <c r="J177" s="2" t="s">
        <v>117</v>
      </c>
      <c r="K177" s="2" t="s">
        <v>69</v>
      </c>
      <c r="L177" s="2" t="s">
        <v>98</v>
      </c>
      <c r="M177" s="2" t="s">
        <v>87</v>
      </c>
      <c r="N177" s="2" t="s">
        <v>115</v>
      </c>
      <c r="O177" s="2" t="s">
        <v>117</v>
      </c>
      <c r="P177" s="2" t="s">
        <v>110</v>
      </c>
      <c r="Q177" s="31">
        <v>0</v>
      </c>
      <c r="R177" s="2" t="s">
        <v>117</v>
      </c>
      <c r="S177" s="2" t="s">
        <v>120</v>
      </c>
      <c r="T177" s="20">
        <v>46143</v>
      </c>
      <c r="U177" s="32">
        <v>2</v>
      </c>
      <c r="V177" s="32">
        <v>1</v>
      </c>
      <c r="W177" s="22">
        <f t="shared" si="34"/>
        <v>1</v>
      </c>
      <c r="X177" s="22">
        <v>20638</v>
      </c>
      <c r="Y177" s="23">
        <f t="shared" si="35"/>
        <v>29382.940242282868</v>
      </c>
      <c r="Z177" s="24">
        <f t="shared" si="36"/>
        <v>1423.7300243377686</v>
      </c>
      <c r="AA177" s="30">
        <v>1380.9000244140625</v>
      </c>
      <c r="AB177" s="30">
        <v>22.909999847412109</v>
      </c>
      <c r="AC177" s="30">
        <v>19.920000076293945</v>
      </c>
      <c r="AD177" s="25">
        <f t="shared" si="37"/>
        <v>0</v>
      </c>
      <c r="AE177" s="26">
        <f t="shared" si="38"/>
        <v>0</v>
      </c>
      <c r="AF177" s="26">
        <f t="shared" si="39"/>
        <v>0</v>
      </c>
      <c r="AG177" s="26">
        <f t="shared" si="40"/>
        <v>0</v>
      </c>
      <c r="AH177" s="25">
        <f t="shared" si="41"/>
        <v>0</v>
      </c>
      <c r="AI177" s="25">
        <f t="shared" si="42"/>
        <v>0</v>
      </c>
      <c r="AJ177" s="25">
        <f t="shared" si="43"/>
        <v>0</v>
      </c>
      <c r="AK177" s="25">
        <f t="shared" si="44"/>
        <v>0</v>
      </c>
      <c r="BA177" s="34">
        <f t="shared" si="45"/>
        <v>28499014.703857422</v>
      </c>
      <c r="BB177" s="34">
        <f t="shared" si="46"/>
        <v>472816.57685089111</v>
      </c>
      <c r="BC177" s="34">
        <f t="shared" si="47"/>
        <v>411108.96157455444</v>
      </c>
    </row>
    <row r="178" spans="2:55">
      <c r="B178" s="2" t="s">
        <v>129</v>
      </c>
      <c r="C178" s="2" t="s">
        <v>130</v>
      </c>
      <c r="D178" s="2" t="s">
        <v>81</v>
      </c>
      <c r="E178" s="33" t="s">
        <v>79</v>
      </c>
      <c r="F178" s="2" t="s">
        <v>68</v>
      </c>
      <c r="G178" s="28" t="s">
        <v>80</v>
      </c>
      <c r="H178" s="2" t="s">
        <v>117</v>
      </c>
      <c r="I178" s="2" t="s">
        <v>117</v>
      </c>
      <c r="J178" s="2" t="s">
        <v>117</v>
      </c>
      <c r="K178" s="2" t="s">
        <v>69</v>
      </c>
      <c r="L178" s="2" t="s">
        <v>127</v>
      </c>
      <c r="M178" s="2" t="s">
        <v>123</v>
      </c>
      <c r="N178" s="2" t="s">
        <v>115</v>
      </c>
      <c r="O178" s="2" t="s">
        <v>117</v>
      </c>
      <c r="P178" s="2" t="s">
        <v>111</v>
      </c>
      <c r="Q178" s="31"/>
      <c r="R178" s="2" t="s">
        <v>117</v>
      </c>
      <c r="S178" s="2" t="s">
        <v>120</v>
      </c>
      <c r="T178" s="20">
        <v>46143</v>
      </c>
      <c r="U178" s="32">
        <v>1</v>
      </c>
      <c r="V178" s="32">
        <v>1</v>
      </c>
      <c r="W178" s="22">
        <f t="shared" si="34"/>
        <v>1</v>
      </c>
      <c r="X178" s="22">
        <v>6231</v>
      </c>
      <c r="Y178" s="23">
        <f t="shared" si="35"/>
        <v>7805.5112388267517</v>
      </c>
      <c r="Z178" s="24">
        <f t="shared" si="36"/>
        <v>1252.6899757385254</v>
      </c>
      <c r="AA178" s="30">
        <v>1031.22998046875</v>
      </c>
      <c r="AB178" s="30">
        <v>162.64999389648438</v>
      </c>
      <c r="AC178" s="30">
        <v>58.810001373291016</v>
      </c>
      <c r="AD178" s="25">
        <f t="shared" si="37"/>
        <v>0</v>
      </c>
      <c r="AE178" s="26">
        <f t="shared" si="38"/>
        <v>0</v>
      </c>
      <c r="AF178" s="26">
        <f t="shared" si="39"/>
        <v>0</v>
      </c>
      <c r="AG178" s="26">
        <f t="shared" si="40"/>
        <v>0</v>
      </c>
      <c r="AH178" s="25">
        <f t="shared" si="41"/>
        <v>0</v>
      </c>
      <c r="AI178" s="25">
        <f t="shared" si="42"/>
        <v>0</v>
      </c>
      <c r="AJ178" s="25">
        <f t="shared" si="43"/>
        <v>0</v>
      </c>
      <c r="AK178" s="25">
        <f t="shared" si="44"/>
        <v>0</v>
      </c>
      <c r="BA178" s="34">
        <f t="shared" si="45"/>
        <v>6425594.0083007813</v>
      </c>
      <c r="BB178" s="34">
        <f t="shared" si="46"/>
        <v>1013472.1119689941</v>
      </c>
      <c r="BC178" s="34">
        <f t="shared" si="47"/>
        <v>366445.11855697632</v>
      </c>
    </row>
    <row r="179" spans="2:55">
      <c r="B179" s="2" t="s">
        <v>66</v>
      </c>
      <c r="C179" s="2" t="s">
        <v>67</v>
      </c>
      <c r="D179" s="2" t="s">
        <v>81</v>
      </c>
      <c r="E179" s="33" t="s">
        <v>79</v>
      </c>
      <c r="F179" s="2" t="s">
        <v>68</v>
      </c>
      <c r="G179" s="2" t="s">
        <v>80</v>
      </c>
      <c r="H179" s="2" t="s">
        <v>117</v>
      </c>
      <c r="I179" s="2" t="s">
        <v>117</v>
      </c>
      <c r="J179" s="2" t="s">
        <v>117</v>
      </c>
      <c r="K179" s="2" t="s">
        <v>82</v>
      </c>
      <c r="L179" s="2" t="s">
        <v>99</v>
      </c>
      <c r="M179" s="2" t="s">
        <v>92</v>
      </c>
      <c r="N179" s="2" t="s">
        <v>115</v>
      </c>
      <c r="O179" s="2" t="s">
        <v>117</v>
      </c>
      <c r="P179" s="2" t="s">
        <v>110</v>
      </c>
      <c r="Q179" s="31">
        <v>0</v>
      </c>
      <c r="R179" s="2" t="s">
        <v>117</v>
      </c>
      <c r="S179" s="2" t="s">
        <v>107</v>
      </c>
      <c r="T179" s="20">
        <v>46143</v>
      </c>
      <c r="U179" s="32">
        <v>2</v>
      </c>
      <c r="V179" s="32">
        <v>1</v>
      </c>
      <c r="W179" s="22">
        <f t="shared" si="34"/>
        <v>1300</v>
      </c>
      <c r="X179" s="22">
        <v>42437</v>
      </c>
      <c r="Y179" s="23">
        <f t="shared" si="35"/>
        <v>69865.729777053828</v>
      </c>
      <c r="Z179" s="24">
        <f t="shared" si="36"/>
        <v>1646.3399810791016</v>
      </c>
      <c r="AA179" s="30">
        <v>1355.22998046875</v>
      </c>
      <c r="AB179" s="30">
        <v>253.5</v>
      </c>
      <c r="AC179" s="30">
        <v>37.610000610351563</v>
      </c>
      <c r="AD179" s="25">
        <f t="shared" si="37"/>
        <v>1266.4153700608474</v>
      </c>
      <c r="AE179" s="26">
        <f t="shared" si="38"/>
        <v>1237.4846003605769</v>
      </c>
      <c r="AF179" s="26">
        <f t="shared" si="39"/>
        <v>28.930769700270435</v>
      </c>
      <c r="AG179" s="26">
        <f t="shared" si="40"/>
        <v>0</v>
      </c>
      <c r="AH179" s="25">
        <f t="shared" si="41"/>
        <v>53.742869059272188</v>
      </c>
      <c r="AI179" s="25">
        <f t="shared" si="42"/>
        <v>52.515133985501805</v>
      </c>
      <c r="AJ179" s="25">
        <f t="shared" si="43"/>
        <v>1.2277350737703765</v>
      </c>
      <c r="AK179" s="25">
        <f t="shared" si="44"/>
        <v>0</v>
      </c>
      <c r="BA179" s="34">
        <f t="shared" si="45"/>
        <v>57511894.681152344</v>
      </c>
      <c r="BB179" s="34">
        <f t="shared" si="46"/>
        <v>10757779.5</v>
      </c>
      <c r="BC179" s="34">
        <f t="shared" si="47"/>
        <v>1596055.5959014893</v>
      </c>
    </row>
    <row r="180" spans="2:55">
      <c r="B180" s="2" t="s">
        <v>66</v>
      </c>
      <c r="C180" s="2" t="s">
        <v>67</v>
      </c>
      <c r="D180" s="2" t="s">
        <v>81</v>
      </c>
      <c r="E180" s="2" t="s">
        <v>79</v>
      </c>
      <c r="F180" s="2" t="s">
        <v>68</v>
      </c>
      <c r="G180" s="2" t="s">
        <v>80</v>
      </c>
      <c r="H180" s="2" t="s">
        <v>117</v>
      </c>
      <c r="I180" s="2" t="s">
        <v>117</v>
      </c>
      <c r="J180" s="2" t="s">
        <v>117</v>
      </c>
      <c r="K180" s="2" t="s">
        <v>82</v>
      </c>
      <c r="L180" s="2" t="s">
        <v>99</v>
      </c>
      <c r="M180" s="2" t="s">
        <v>90</v>
      </c>
      <c r="N180" s="2" t="s">
        <v>115</v>
      </c>
      <c r="O180" s="2" t="s">
        <v>117</v>
      </c>
      <c r="P180" s="2" t="s">
        <v>111</v>
      </c>
      <c r="Q180" s="31">
        <v>0</v>
      </c>
      <c r="R180" s="2" t="s">
        <v>117</v>
      </c>
      <c r="S180" s="2" t="s">
        <v>101</v>
      </c>
      <c r="T180" s="20">
        <v>46143</v>
      </c>
      <c r="U180" s="32">
        <v>2</v>
      </c>
      <c r="V180" s="32">
        <v>1</v>
      </c>
      <c r="W180" s="22">
        <f t="shared" si="34"/>
        <v>1300</v>
      </c>
      <c r="X180" s="22">
        <v>32251</v>
      </c>
      <c r="Y180" s="23">
        <f t="shared" si="35"/>
        <v>35225.509592208866</v>
      </c>
      <c r="Z180" s="24">
        <f t="shared" si="36"/>
        <v>1092.2299957275391</v>
      </c>
      <c r="AA180" s="30">
        <v>859.19000244140625</v>
      </c>
      <c r="AB180" s="30">
        <v>194.6199951171875</v>
      </c>
      <c r="AC180" s="30">
        <v>38.419998168945313</v>
      </c>
      <c r="AD180" s="25">
        <f t="shared" si="37"/>
        <v>840.17691979041479</v>
      </c>
      <c r="AE180" s="26">
        <f t="shared" si="38"/>
        <v>540.41538336338147</v>
      </c>
      <c r="AF180" s="26">
        <f t="shared" si="39"/>
        <v>29.553844745342548</v>
      </c>
      <c r="AG180" s="26">
        <f t="shared" si="40"/>
        <v>270.20769168169073</v>
      </c>
      <c r="AH180" s="25">
        <f t="shared" si="41"/>
        <v>27.096545840160669</v>
      </c>
      <c r="AI180" s="25">
        <f t="shared" si="42"/>
        <v>17.428936528852415</v>
      </c>
      <c r="AJ180" s="25">
        <f t="shared" si="43"/>
        <v>0.9531410468820426</v>
      </c>
      <c r="AK180" s="25">
        <f t="shared" si="44"/>
        <v>8.7144682644262073</v>
      </c>
      <c r="BA180" s="34">
        <f t="shared" si="45"/>
        <v>27709736.768737793</v>
      </c>
      <c r="BB180" s="34">
        <f t="shared" si="46"/>
        <v>6276689.4625244141</v>
      </c>
      <c r="BC180" s="34">
        <f t="shared" si="47"/>
        <v>1239083.3609466553</v>
      </c>
    </row>
    <row r="181" spans="2:55">
      <c r="B181" s="2" t="s">
        <v>66</v>
      </c>
      <c r="C181" s="2" t="s">
        <v>67</v>
      </c>
      <c r="D181" s="2" t="s">
        <v>81</v>
      </c>
      <c r="E181" s="2" t="s">
        <v>79</v>
      </c>
      <c r="F181" s="2" t="s">
        <v>68</v>
      </c>
      <c r="G181" s="2" t="s">
        <v>80</v>
      </c>
      <c r="H181" s="2" t="s">
        <v>117</v>
      </c>
      <c r="I181" s="2" t="s">
        <v>117</v>
      </c>
      <c r="J181" s="2" t="s">
        <v>117</v>
      </c>
      <c r="K181" s="2" t="s">
        <v>82</v>
      </c>
      <c r="L181" s="2" t="s">
        <v>99</v>
      </c>
      <c r="M181" s="2" t="s">
        <v>90</v>
      </c>
      <c r="N181" s="2" t="s">
        <v>115</v>
      </c>
      <c r="O181" s="2" t="s">
        <v>117</v>
      </c>
      <c r="P181" s="2" t="s">
        <v>111</v>
      </c>
      <c r="Q181" s="31">
        <v>0</v>
      </c>
      <c r="R181" s="2" t="s">
        <v>117</v>
      </c>
      <c r="S181" s="2" t="s">
        <v>102</v>
      </c>
      <c r="T181" s="20">
        <v>46143</v>
      </c>
      <c r="U181" s="32">
        <v>2</v>
      </c>
      <c r="V181" s="32">
        <v>1</v>
      </c>
      <c r="W181" s="22">
        <f t="shared" si="34"/>
        <v>1300</v>
      </c>
      <c r="X181" s="22">
        <v>30668</v>
      </c>
      <c r="Y181" s="23">
        <f t="shared" si="35"/>
        <v>45444.147718246459</v>
      </c>
      <c r="Z181" s="24">
        <f t="shared" si="36"/>
        <v>1481.8099555969238</v>
      </c>
      <c r="AA181" s="30">
        <v>1153.3399658203125</v>
      </c>
      <c r="AB181" s="30">
        <v>293.26998901367188</v>
      </c>
      <c r="AC181" s="30">
        <v>35.200000762939453</v>
      </c>
      <c r="AD181" s="25">
        <f t="shared" si="37"/>
        <v>1139.8538119976336</v>
      </c>
      <c r="AE181" s="26">
        <f t="shared" si="38"/>
        <v>1112.776888333834</v>
      </c>
      <c r="AF181" s="26">
        <f t="shared" si="39"/>
        <v>27.07692366379958</v>
      </c>
      <c r="AG181" s="26">
        <f t="shared" si="40"/>
        <v>0</v>
      </c>
      <c r="AH181" s="25">
        <f t="shared" si="41"/>
        <v>34.95703670634343</v>
      </c>
      <c r="AI181" s="25">
        <f t="shared" si="42"/>
        <v>34.126641611422023</v>
      </c>
      <c r="AJ181" s="25">
        <f t="shared" si="43"/>
        <v>0.83039509492140551</v>
      </c>
      <c r="AK181" s="25">
        <f t="shared" si="44"/>
        <v>0</v>
      </c>
      <c r="BA181" s="34">
        <f t="shared" si="45"/>
        <v>35370630.071777344</v>
      </c>
      <c r="BB181" s="34">
        <f t="shared" si="46"/>
        <v>8994004.0230712891</v>
      </c>
      <c r="BC181" s="34">
        <f t="shared" si="47"/>
        <v>1079513.6233978271</v>
      </c>
    </row>
    <row r="182" spans="2:55">
      <c r="B182" s="2" t="s">
        <v>66</v>
      </c>
      <c r="C182" s="2" t="s">
        <v>67</v>
      </c>
      <c r="D182" s="2" t="s">
        <v>81</v>
      </c>
      <c r="E182" s="2" t="s">
        <v>79</v>
      </c>
      <c r="F182" s="2" t="s">
        <v>68</v>
      </c>
      <c r="G182" s="2" t="s">
        <v>80</v>
      </c>
      <c r="H182" s="2" t="s">
        <v>117</v>
      </c>
      <c r="I182" s="2" t="s">
        <v>117</v>
      </c>
      <c r="J182" s="2" t="s">
        <v>117</v>
      </c>
      <c r="K182" s="2" t="s">
        <v>82</v>
      </c>
      <c r="L182" s="2" t="s">
        <v>99</v>
      </c>
      <c r="M182" s="2" t="s">
        <v>90</v>
      </c>
      <c r="N182" s="2" t="s">
        <v>115</v>
      </c>
      <c r="O182" s="2" t="s">
        <v>117</v>
      </c>
      <c r="P182" s="2" t="s">
        <v>111</v>
      </c>
      <c r="Q182" s="31">
        <v>0</v>
      </c>
      <c r="R182" s="2" t="s">
        <v>117</v>
      </c>
      <c r="S182" s="2" t="s">
        <v>139</v>
      </c>
      <c r="T182" s="20">
        <v>46143</v>
      </c>
      <c r="U182" s="32">
        <v>2</v>
      </c>
      <c r="V182" s="32">
        <v>1</v>
      </c>
      <c r="W182" s="22">
        <f t="shared" si="34"/>
        <v>1300</v>
      </c>
      <c r="X182" s="22">
        <v>4842</v>
      </c>
      <c r="Y182" s="23">
        <f t="shared" si="35"/>
        <v>4468.8755841751099</v>
      </c>
      <c r="Z182" s="24">
        <f t="shared" si="36"/>
        <v>922.94002151489258</v>
      </c>
      <c r="AA182" s="30">
        <v>864.27001953125</v>
      </c>
      <c r="AB182" s="30">
        <v>13.270000457763672</v>
      </c>
      <c r="AC182" s="30">
        <v>45.400001525878906</v>
      </c>
      <c r="AD182" s="25">
        <f t="shared" si="37"/>
        <v>709.95386270376355</v>
      </c>
      <c r="AE182" s="26">
        <f t="shared" si="38"/>
        <v>675.03078460693359</v>
      </c>
      <c r="AF182" s="26">
        <f t="shared" si="39"/>
        <v>34.923078096829926</v>
      </c>
      <c r="AG182" s="26">
        <f t="shared" si="40"/>
        <v>0</v>
      </c>
      <c r="AH182" s="25">
        <f t="shared" si="41"/>
        <v>3.437596603211623</v>
      </c>
      <c r="AI182" s="25">
        <f t="shared" si="42"/>
        <v>3.2684990590667726</v>
      </c>
      <c r="AJ182" s="25">
        <f t="shared" si="43"/>
        <v>0.16909754414485048</v>
      </c>
      <c r="AK182" s="25">
        <f t="shared" si="44"/>
        <v>0</v>
      </c>
      <c r="BA182" s="34">
        <f t="shared" si="45"/>
        <v>4184795.4345703125</v>
      </c>
      <c r="BB182" s="34">
        <f t="shared" si="46"/>
        <v>64253.342216491699</v>
      </c>
      <c r="BC182" s="34">
        <f t="shared" si="47"/>
        <v>219826.80738830566</v>
      </c>
    </row>
    <row r="183" spans="2:55">
      <c r="B183" s="2" t="s">
        <v>66</v>
      </c>
      <c r="C183" s="2" t="s">
        <v>67</v>
      </c>
      <c r="D183" s="2" t="s">
        <v>81</v>
      </c>
      <c r="E183" s="2" t="s">
        <v>79</v>
      </c>
      <c r="F183" s="2" t="s">
        <v>68</v>
      </c>
      <c r="G183" s="2" t="s">
        <v>80</v>
      </c>
      <c r="H183" s="2" t="s">
        <v>117</v>
      </c>
      <c r="I183" s="2" t="s">
        <v>117</v>
      </c>
      <c r="J183" s="2" t="s">
        <v>117</v>
      </c>
      <c r="K183" s="2" t="s">
        <v>82</v>
      </c>
      <c r="L183" s="2" t="s">
        <v>99</v>
      </c>
      <c r="M183" s="2" t="s">
        <v>90</v>
      </c>
      <c r="N183" s="2" t="s">
        <v>115</v>
      </c>
      <c r="O183" s="2" t="s">
        <v>117</v>
      </c>
      <c r="P183" s="2" t="s">
        <v>111</v>
      </c>
      <c r="Q183" s="31">
        <v>0</v>
      </c>
      <c r="R183" s="2" t="s">
        <v>117</v>
      </c>
      <c r="S183" s="2" t="s">
        <v>106</v>
      </c>
      <c r="T183" s="20">
        <v>46143</v>
      </c>
      <c r="U183" s="32">
        <v>2</v>
      </c>
      <c r="V183" s="32">
        <v>1</v>
      </c>
      <c r="W183" s="22">
        <f t="shared" si="34"/>
        <v>1300</v>
      </c>
      <c r="X183" s="22">
        <v>6742</v>
      </c>
      <c r="Y183" s="23">
        <f t="shared" si="35"/>
        <v>7095.2808906583787</v>
      </c>
      <c r="Z183" s="24">
        <f t="shared" si="36"/>
        <v>1052.4000134468079</v>
      </c>
      <c r="AA183" s="30">
        <v>947.510009765625</v>
      </c>
      <c r="AB183" s="30">
        <v>98.410003662109375</v>
      </c>
      <c r="AC183" s="30">
        <v>6.4800000190734863</v>
      </c>
      <c r="AD183" s="25">
        <f t="shared" si="37"/>
        <v>809.53847188215991</v>
      </c>
      <c r="AE183" s="26">
        <f t="shared" si="38"/>
        <v>804.55385648287256</v>
      </c>
      <c r="AF183" s="26">
        <f t="shared" si="39"/>
        <v>4.9846153992872972</v>
      </c>
      <c r="AG183" s="26">
        <f t="shared" si="40"/>
        <v>0</v>
      </c>
      <c r="AH183" s="25">
        <f t="shared" si="41"/>
        <v>5.457908377429523</v>
      </c>
      <c r="AI183" s="25">
        <f t="shared" si="42"/>
        <v>5.4243021004075267</v>
      </c>
      <c r="AJ183" s="25">
        <f t="shared" si="43"/>
        <v>3.3606277021994958E-2</v>
      </c>
      <c r="AK183" s="25">
        <f t="shared" si="44"/>
        <v>0</v>
      </c>
      <c r="BA183" s="34">
        <f t="shared" si="45"/>
        <v>6388112.4858398438</v>
      </c>
      <c r="BB183" s="34">
        <f t="shared" si="46"/>
        <v>663480.24468994141</v>
      </c>
      <c r="BC183" s="34">
        <f t="shared" si="47"/>
        <v>43688.160128593445</v>
      </c>
    </row>
    <row r="184" spans="2:55">
      <c r="B184" s="2" t="s">
        <v>66</v>
      </c>
      <c r="C184" s="2" t="s">
        <v>67</v>
      </c>
      <c r="D184" s="2" t="s">
        <v>81</v>
      </c>
      <c r="E184" s="2" t="s">
        <v>79</v>
      </c>
      <c r="F184" s="2" t="s">
        <v>68</v>
      </c>
      <c r="G184" s="2" t="s">
        <v>80</v>
      </c>
      <c r="H184" s="2" t="s">
        <v>117</v>
      </c>
      <c r="I184" s="2" t="s">
        <v>117</v>
      </c>
      <c r="J184" s="2" t="s">
        <v>117</v>
      </c>
      <c r="K184" s="2" t="s">
        <v>82</v>
      </c>
      <c r="L184" s="2" t="s">
        <v>99</v>
      </c>
      <c r="M184" s="2" t="s">
        <v>90</v>
      </c>
      <c r="N184" s="2" t="s">
        <v>115</v>
      </c>
      <c r="O184" s="2" t="s">
        <v>117</v>
      </c>
      <c r="P184" s="2" t="s">
        <v>111</v>
      </c>
      <c r="Q184" s="31">
        <v>0</v>
      </c>
      <c r="R184" s="2" t="s">
        <v>117</v>
      </c>
      <c r="S184" s="2" t="s">
        <v>105</v>
      </c>
      <c r="T184" s="20">
        <v>46143</v>
      </c>
      <c r="U184" s="32">
        <v>2</v>
      </c>
      <c r="V184" s="32">
        <v>1</v>
      </c>
      <c r="W184" s="22">
        <f t="shared" si="34"/>
        <v>1300</v>
      </c>
      <c r="X184" s="22">
        <v>8306</v>
      </c>
      <c r="Y184" s="23">
        <f t="shared" si="35"/>
        <v>14521.711819473267</v>
      </c>
      <c r="Z184" s="24">
        <f t="shared" si="36"/>
        <v>1748.339973449707</v>
      </c>
      <c r="AA184" s="30">
        <v>1399.97998046875</v>
      </c>
      <c r="AB184" s="30">
        <v>270.89999389648438</v>
      </c>
      <c r="AC184" s="30">
        <v>77.459999084472656</v>
      </c>
      <c r="AD184" s="25">
        <f t="shared" si="37"/>
        <v>1344.8769026536206</v>
      </c>
      <c r="AE184" s="26">
        <f t="shared" si="38"/>
        <v>1285.2922879732571</v>
      </c>
      <c r="AF184" s="26">
        <f t="shared" si="39"/>
        <v>59.584614680363579</v>
      </c>
      <c r="AG184" s="26">
        <f t="shared" si="40"/>
        <v>0</v>
      </c>
      <c r="AH184" s="25">
        <f t="shared" si="41"/>
        <v>11.170547553440974</v>
      </c>
      <c r="AI184" s="25">
        <f t="shared" si="42"/>
        <v>10.675637743905874</v>
      </c>
      <c r="AJ184" s="25">
        <f t="shared" si="43"/>
        <v>0.49490980953509989</v>
      </c>
      <c r="AK184" s="25">
        <f t="shared" si="44"/>
        <v>0</v>
      </c>
      <c r="BA184" s="34">
        <f t="shared" si="45"/>
        <v>11628233.717773438</v>
      </c>
      <c r="BB184" s="34">
        <f t="shared" si="46"/>
        <v>2250095.3493041992</v>
      </c>
      <c r="BC184" s="34">
        <f t="shared" si="47"/>
        <v>643382.75239562988</v>
      </c>
    </row>
    <row r="185" spans="2:55">
      <c r="B185" s="2" t="s">
        <v>66</v>
      </c>
      <c r="C185" s="2" t="s">
        <v>67</v>
      </c>
      <c r="D185" s="2" t="s">
        <v>81</v>
      </c>
      <c r="E185" s="2" t="s">
        <v>79</v>
      </c>
      <c r="F185" s="2" t="s">
        <v>68</v>
      </c>
      <c r="G185" s="2" t="s">
        <v>80</v>
      </c>
      <c r="H185" s="2" t="s">
        <v>117</v>
      </c>
      <c r="I185" s="2" t="s">
        <v>117</v>
      </c>
      <c r="J185" s="2" t="s">
        <v>117</v>
      </c>
      <c r="K185" s="2" t="s">
        <v>82</v>
      </c>
      <c r="L185" s="2" t="s">
        <v>99</v>
      </c>
      <c r="M185" s="2" t="s">
        <v>90</v>
      </c>
      <c r="N185" s="2" t="s">
        <v>115</v>
      </c>
      <c r="O185" s="2" t="s">
        <v>117</v>
      </c>
      <c r="P185" s="2" t="s">
        <v>111</v>
      </c>
      <c r="Q185" s="31">
        <v>0</v>
      </c>
      <c r="R185" s="2" t="s">
        <v>117</v>
      </c>
      <c r="S185" s="2" t="s">
        <v>107</v>
      </c>
      <c r="T185" s="20">
        <v>46143</v>
      </c>
      <c r="U185" s="32">
        <v>2</v>
      </c>
      <c r="V185" s="32">
        <v>1</v>
      </c>
      <c r="W185" s="22">
        <f t="shared" si="34"/>
        <v>1300</v>
      </c>
      <c r="X185" s="22">
        <v>49100</v>
      </c>
      <c r="Y185" s="23">
        <f t="shared" si="35"/>
        <v>70844.917626523966</v>
      </c>
      <c r="Z185" s="24">
        <f t="shared" si="36"/>
        <v>1442.8700127601624</v>
      </c>
      <c r="AA185" s="30">
        <v>1372.510009765625</v>
      </c>
      <c r="AB185" s="30">
        <v>4.809999942779541</v>
      </c>
      <c r="AC185" s="30">
        <v>65.550003051757813</v>
      </c>
      <c r="AD185" s="25">
        <f t="shared" si="37"/>
        <v>1109.9000098155095</v>
      </c>
      <c r="AE185" s="26">
        <f t="shared" si="38"/>
        <v>1059.4769305449265</v>
      </c>
      <c r="AF185" s="26">
        <f t="shared" si="39"/>
        <v>50.423079270582932</v>
      </c>
      <c r="AG185" s="26">
        <f t="shared" si="40"/>
        <v>0</v>
      </c>
      <c r="AH185" s="25">
        <f t="shared" si="41"/>
        <v>54.496090481941522</v>
      </c>
      <c r="AI185" s="25">
        <f t="shared" si="42"/>
        <v>52.020317289755894</v>
      </c>
      <c r="AJ185" s="25">
        <f t="shared" si="43"/>
        <v>2.4757731921856219</v>
      </c>
      <c r="AK185" s="25">
        <f t="shared" si="44"/>
        <v>0</v>
      </c>
      <c r="BA185" s="34">
        <f t="shared" si="45"/>
        <v>67390241.479492188</v>
      </c>
      <c r="BB185" s="34">
        <f t="shared" si="46"/>
        <v>236170.99719047546</v>
      </c>
      <c r="BC185" s="34">
        <f t="shared" si="47"/>
        <v>3218505.1498413086</v>
      </c>
    </row>
    <row r="186" spans="2:55">
      <c r="B186" s="2" t="s">
        <v>66</v>
      </c>
      <c r="C186" s="2" t="s">
        <v>67</v>
      </c>
      <c r="D186" s="2" t="s">
        <v>81</v>
      </c>
      <c r="E186" s="2" t="s">
        <v>79</v>
      </c>
      <c r="F186" s="2" t="s">
        <v>68</v>
      </c>
      <c r="G186" s="2" t="s">
        <v>80</v>
      </c>
      <c r="H186" s="2" t="s">
        <v>117</v>
      </c>
      <c r="I186" s="2" t="s">
        <v>117</v>
      </c>
      <c r="J186" s="2" t="s">
        <v>117</v>
      </c>
      <c r="K186" s="2" t="s">
        <v>82</v>
      </c>
      <c r="L186" s="2" t="s">
        <v>99</v>
      </c>
      <c r="M186" s="2" t="s">
        <v>90</v>
      </c>
      <c r="N186" s="2" t="s">
        <v>115</v>
      </c>
      <c r="O186" s="2" t="s">
        <v>117</v>
      </c>
      <c r="P186" s="2" t="s">
        <v>111</v>
      </c>
      <c r="Q186" s="31">
        <v>0</v>
      </c>
      <c r="R186" s="2" t="s">
        <v>117</v>
      </c>
      <c r="S186" s="2" t="s">
        <v>140</v>
      </c>
      <c r="T186" s="20">
        <v>46143</v>
      </c>
      <c r="U186" s="32">
        <v>2</v>
      </c>
      <c r="V186" s="32">
        <v>1</v>
      </c>
      <c r="W186" s="22">
        <f t="shared" si="34"/>
        <v>1300</v>
      </c>
      <c r="X186" s="22">
        <v>46475</v>
      </c>
      <c r="Y186" s="23">
        <f t="shared" si="35"/>
        <v>66666.526329994202</v>
      </c>
      <c r="Z186" s="24">
        <f t="shared" si="36"/>
        <v>1434.4599533081055</v>
      </c>
      <c r="AA186" s="30">
        <v>1082.3299560546875</v>
      </c>
      <c r="AB186" s="30">
        <v>274.5</v>
      </c>
      <c r="AC186" s="30">
        <v>77.629997253417969</v>
      </c>
      <c r="AD186" s="25">
        <f t="shared" si="37"/>
        <v>1103.4307333139272</v>
      </c>
      <c r="AE186" s="26">
        <f t="shared" si="38"/>
        <v>1043.7153508112981</v>
      </c>
      <c r="AF186" s="26">
        <f t="shared" si="39"/>
        <v>59.715382502629204</v>
      </c>
      <c r="AG186" s="26">
        <f t="shared" si="40"/>
        <v>0</v>
      </c>
      <c r="AH186" s="25">
        <f t="shared" si="41"/>
        <v>51.281943330764769</v>
      </c>
      <c r="AI186" s="25">
        <f t="shared" si="42"/>
        <v>48.506670928955081</v>
      </c>
      <c r="AJ186" s="25">
        <f t="shared" si="43"/>
        <v>2.7752724018096924</v>
      </c>
      <c r="AK186" s="25">
        <f t="shared" si="44"/>
        <v>0</v>
      </c>
      <c r="BA186" s="34">
        <f t="shared" si="45"/>
        <v>50301284.707641602</v>
      </c>
      <c r="BB186" s="34">
        <f t="shared" si="46"/>
        <v>12757387.5</v>
      </c>
      <c r="BC186" s="34">
        <f t="shared" si="47"/>
        <v>3607854.1223526001</v>
      </c>
    </row>
    <row r="187" spans="2:55">
      <c r="B187" s="2" t="s">
        <v>66</v>
      </c>
      <c r="C187" s="2" t="s">
        <v>67</v>
      </c>
      <c r="D187" s="2" t="s">
        <v>81</v>
      </c>
      <c r="E187" s="2" t="s">
        <v>79</v>
      </c>
      <c r="F187" s="2" t="s">
        <v>68</v>
      </c>
      <c r="G187" s="2" t="s">
        <v>80</v>
      </c>
      <c r="H187" s="2" t="s">
        <v>117</v>
      </c>
      <c r="I187" s="2" t="s">
        <v>117</v>
      </c>
      <c r="J187" s="2" t="s">
        <v>117</v>
      </c>
      <c r="K187" s="2" t="s">
        <v>82</v>
      </c>
      <c r="L187" s="2" t="s">
        <v>99</v>
      </c>
      <c r="M187" s="2" t="s">
        <v>90</v>
      </c>
      <c r="N187" s="2" t="s">
        <v>115</v>
      </c>
      <c r="O187" s="2" t="s">
        <v>117</v>
      </c>
      <c r="P187" s="2" t="s">
        <v>111</v>
      </c>
      <c r="Q187" s="31">
        <v>0</v>
      </c>
      <c r="R187" s="2" t="s">
        <v>117</v>
      </c>
      <c r="S187" s="2" t="s">
        <v>109</v>
      </c>
      <c r="T187" s="20">
        <v>46143</v>
      </c>
      <c r="U187" s="32">
        <v>2</v>
      </c>
      <c r="V187" s="32">
        <v>1</v>
      </c>
      <c r="W187" s="22">
        <f t="shared" si="34"/>
        <v>1300</v>
      </c>
      <c r="X187" s="22">
        <v>18217</v>
      </c>
      <c r="Y187" s="23">
        <f t="shared" si="35"/>
        <v>20047.80891695404</v>
      </c>
      <c r="Z187" s="24">
        <f t="shared" si="36"/>
        <v>1100.5000228881836</v>
      </c>
      <c r="AA187" s="30">
        <v>725.59002685546875</v>
      </c>
      <c r="AB187" s="30">
        <v>278.05999755859375</v>
      </c>
      <c r="AC187" s="30">
        <v>96.849998474121094</v>
      </c>
      <c r="AD187" s="25">
        <f t="shared" si="37"/>
        <v>846.53847914475659</v>
      </c>
      <c r="AE187" s="26">
        <f t="shared" si="38"/>
        <v>772.03848031850964</v>
      </c>
      <c r="AF187" s="26">
        <f t="shared" si="39"/>
        <v>74.499998826246994</v>
      </c>
      <c r="AG187" s="26">
        <f t="shared" si="40"/>
        <v>0</v>
      </c>
      <c r="AH187" s="25">
        <f t="shared" si="41"/>
        <v>15.42139147458003</v>
      </c>
      <c r="AI187" s="25">
        <f t="shared" si="42"/>
        <v>14.06422499596229</v>
      </c>
      <c r="AJ187" s="25">
        <f t="shared" si="43"/>
        <v>1.3571664786177415</v>
      </c>
      <c r="AK187" s="25">
        <f t="shared" si="44"/>
        <v>0</v>
      </c>
      <c r="BA187" s="34">
        <f t="shared" si="45"/>
        <v>13218073.519226074</v>
      </c>
      <c r="BB187" s="34">
        <f t="shared" si="46"/>
        <v>5065418.9755249023</v>
      </c>
      <c r="BC187" s="34">
        <f t="shared" si="47"/>
        <v>1764316.422203064</v>
      </c>
    </row>
    <row r="188" spans="2:55">
      <c r="B188" s="2" t="s">
        <v>66</v>
      </c>
      <c r="C188" s="2" t="s">
        <v>67</v>
      </c>
      <c r="D188" s="2" t="s">
        <v>81</v>
      </c>
      <c r="E188" s="2" t="s">
        <v>79</v>
      </c>
      <c r="F188" s="2" t="s">
        <v>68</v>
      </c>
      <c r="G188" s="2" t="s">
        <v>80</v>
      </c>
      <c r="H188" s="2" t="s">
        <v>117</v>
      </c>
      <c r="I188" s="2" t="s">
        <v>117</v>
      </c>
      <c r="J188" s="2" t="s">
        <v>117</v>
      </c>
      <c r="K188" s="2" t="s">
        <v>82</v>
      </c>
      <c r="L188" s="2" t="s">
        <v>99</v>
      </c>
      <c r="M188" s="2" t="s">
        <v>90</v>
      </c>
      <c r="N188" s="2" t="s">
        <v>115</v>
      </c>
      <c r="O188" s="2" t="s">
        <v>117</v>
      </c>
      <c r="P188" s="2" t="s">
        <v>111</v>
      </c>
      <c r="Q188" s="31">
        <v>0</v>
      </c>
      <c r="R188" s="2" t="s">
        <v>117</v>
      </c>
      <c r="S188" s="2" t="s">
        <v>108</v>
      </c>
      <c r="T188" s="20">
        <v>46143</v>
      </c>
      <c r="U188" s="32">
        <v>2</v>
      </c>
      <c r="V188" s="32">
        <v>1</v>
      </c>
      <c r="W188" s="22">
        <f t="shared" si="34"/>
        <v>1300</v>
      </c>
      <c r="X188" s="22">
        <v>17713</v>
      </c>
      <c r="Y188" s="23">
        <f t="shared" si="35"/>
        <v>26742.909610519408</v>
      </c>
      <c r="Z188" s="24">
        <f t="shared" si="36"/>
        <v>1509.7899627685547</v>
      </c>
      <c r="AA188" s="30">
        <v>1189.8399658203125</v>
      </c>
      <c r="AB188" s="30">
        <v>235.72999572753906</v>
      </c>
      <c r="AC188" s="30">
        <v>84.220001220703125</v>
      </c>
      <c r="AD188" s="25">
        <f t="shared" si="37"/>
        <v>1161.3768944373498</v>
      </c>
      <c r="AE188" s="26">
        <f t="shared" si="38"/>
        <v>1096.5922781137322</v>
      </c>
      <c r="AF188" s="26">
        <f t="shared" si="39"/>
        <v>64.784616323617783</v>
      </c>
      <c r="AG188" s="26">
        <f t="shared" si="40"/>
        <v>0</v>
      </c>
      <c r="AH188" s="25">
        <f t="shared" si="41"/>
        <v>20.571468931168777</v>
      </c>
      <c r="AI188" s="25">
        <f t="shared" si="42"/>
        <v>19.423939022228538</v>
      </c>
      <c r="AJ188" s="25">
        <f t="shared" si="43"/>
        <v>1.147529908940242</v>
      </c>
      <c r="AK188" s="25">
        <f t="shared" si="44"/>
        <v>0</v>
      </c>
      <c r="BA188" s="34">
        <f t="shared" si="45"/>
        <v>21075635.314575195</v>
      </c>
      <c r="BB188" s="34">
        <f t="shared" si="46"/>
        <v>4175485.4143218994</v>
      </c>
      <c r="BC188" s="34">
        <f t="shared" si="47"/>
        <v>1491788.8816223145</v>
      </c>
    </row>
    <row r="189" spans="2:55">
      <c r="B189" s="2" t="s">
        <v>66</v>
      </c>
      <c r="C189" s="2" t="s">
        <v>67</v>
      </c>
      <c r="D189" s="2" t="s">
        <v>81</v>
      </c>
      <c r="E189" s="2" t="s">
        <v>79</v>
      </c>
      <c r="F189" s="2" t="s">
        <v>68</v>
      </c>
      <c r="G189" s="2" t="s">
        <v>80</v>
      </c>
      <c r="H189" s="2" t="s">
        <v>117</v>
      </c>
      <c r="I189" s="2" t="s">
        <v>117</v>
      </c>
      <c r="J189" s="2" t="s">
        <v>117</v>
      </c>
      <c r="K189" s="2" t="s">
        <v>82</v>
      </c>
      <c r="L189" s="2" t="s">
        <v>99</v>
      </c>
      <c r="M189" s="2" t="s">
        <v>90</v>
      </c>
      <c r="N189" s="2" t="s">
        <v>115</v>
      </c>
      <c r="O189" s="2" t="s">
        <v>117</v>
      </c>
      <c r="P189" s="2" t="s">
        <v>111</v>
      </c>
      <c r="Q189" s="31">
        <v>0</v>
      </c>
      <c r="R189" s="2" t="s">
        <v>117</v>
      </c>
      <c r="S189" s="2" t="s">
        <v>103</v>
      </c>
      <c r="T189" s="20">
        <v>46143</v>
      </c>
      <c r="U189" s="32">
        <v>2</v>
      </c>
      <c r="V189" s="32">
        <v>1</v>
      </c>
      <c r="W189" s="22">
        <f t="shared" si="34"/>
        <v>1300</v>
      </c>
      <c r="X189" s="22">
        <v>31598</v>
      </c>
      <c r="Y189" s="23">
        <f t="shared" si="35"/>
        <v>32704.878609581949</v>
      </c>
      <c r="Z189" s="24">
        <f t="shared" si="36"/>
        <v>1035.0300211906433</v>
      </c>
      <c r="AA189" s="30">
        <v>966.52001953125</v>
      </c>
      <c r="AB189" s="30">
        <v>63.400001525878906</v>
      </c>
      <c r="AC189" s="30">
        <v>5.1100001335144043</v>
      </c>
      <c r="AD189" s="25">
        <f t="shared" si="37"/>
        <v>796.17693937741797</v>
      </c>
      <c r="AE189" s="26">
        <f t="shared" si="38"/>
        <v>792.24617004394531</v>
      </c>
      <c r="AF189" s="26">
        <f t="shared" si="39"/>
        <v>3.930769333472619</v>
      </c>
      <c r="AG189" s="26">
        <f t="shared" si="40"/>
        <v>0</v>
      </c>
      <c r="AH189" s="25">
        <f t="shared" si="41"/>
        <v>25.157598930447651</v>
      </c>
      <c r="AI189" s="25">
        <f t="shared" si="42"/>
        <v>25.033394481048585</v>
      </c>
      <c r="AJ189" s="25">
        <f t="shared" si="43"/>
        <v>0.12420444939906782</v>
      </c>
      <c r="AK189" s="25">
        <f t="shared" si="44"/>
        <v>0</v>
      </c>
      <c r="BA189" s="34">
        <f t="shared" si="45"/>
        <v>30540099.577148438</v>
      </c>
      <c r="BB189" s="34">
        <f t="shared" si="46"/>
        <v>2003313.2482147217</v>
      </c>
      <c r="BC189" s="34">
        <f t="shared" si="47"/>
        <v>161465.78421878815</v>
      </c>
    </row>
    <row r="190" spans="2:55">
      <c r="B190" s="2" t="s">
        <v>66</v>
      </c>
      <c r="C190" s="2" t="s">
        <v>67</v>
      </c>
      <c r="D190" s="2" t="s">
        <v>81</v>
      </c>
      <c r="E190" s="2" t="s">
        <v>79</v>
      </c>
      <c r="F190" s="2" t="s">
        <v>68</v>
      </c>
      <c r="G190" s="2" t="s">
        <v>80</v>
      </c>
      <c r="H190" s="2" t="s">
        <v>117</v>
      </c>
      <c r="I190" s="2" t="s">
        <v>117</v>
      </c>
      <c r="J190" s="2" t="s">
        <v>117</v>
      </c>
      <c r="K190" s="2" t="s">
        <v>82</v>
      </c>
      <c r="L190" s="2" t="s">
        <v>99</v>
      </c>
      <c r="M190" s="2" t="s">
        <v>90</v>
      </c>
      <c r="N190" s="2" t="s">
        <v>115</v>
      </c>
      <c r="O190" s="2" t="s">
        <v>117</v>
      </c>
      <c r="P190" s="2" t="s">
        <v>111</v>
      </c>
      <c r="Q190" s="31">
        <v>0</v>
      </c>
      <c r="R190" s="2" t="s">
        <v>117</v>
      </c>
      <c r="S190" s="2" t="s">
        <v>104</v>
      </c>
      <c r="T190" s="20">
        <v>46143</v>
      </c>
      <c r="U190" s="32">
        <v>2</v>
      </c>
      <c r="V190" s="32">
        <v>1</v>
      </c>
      <c r="W190" s="22">
        <f t="shared" si="34"/>
        <v>1300</v>
      </c>
      <c r="X190" s="22">
        <v>39917</v>
      </c>
      <c r="Y190" s="23">
        <f t="shared" si="35"/>
        <v>62484.476057991029</v>
      </c>
      <c r="Z190" s="24">
        <f t="shared" si="36"/>
        <v>1565.3600234985352</v>
      </c>
      <c r="AA190" s="30">
        <v>1263.52001953125</v>
      </c>
      <c r="AB190" s="30">
        <v>220.96000671386719</v>
      </c>
      <c r="AC190" s="30">
        <v>80.879997253417969</v>
      </c>
      <c r="AD190" s="25">
        <f t="shared" si="37"/>
        <v>1204.1230949988731</v>
      </c>
      <c r="AE190" s="26">
        <f t="shared" si="38"/>
        <v>1141.9077124962439</v>
      </c>
      <c r="AF190" s="26">
        <f t="shared" si="39"/>
        <v>62.215382502629211</v>
      </c>
      <c r="AG190" s="26">
        <f t="shared" si="40"/>
        <v>0</v>
      </c>
      <c r="AH190" s="25">
        <f t="shared" si="41"/>
        <v>48.064981583070015</v>
      </c>
      <c r="AI190" s="25">
        <f t="shared" si="42"/>
        <v>45.581530159712571</v>
      </c>
      <c r="AJ190" s="25">
        <f t="shared" si="43"/>
        <v>2.4834514233574505</v>
      </c>
      <c r="AK190" s="25">
        <f t="shared" si="44"/>
        <v>0</v>
      </c>
      <c r="BA190" s="34">
        <f t="shared" si="45"/>
        <v>50435928.619628906</v>
      </c>
      <c r="BB190" s="34">
        <f t="shared" si="46"/>
        <v>8820060.5879974365</v>
      </c>
      <c r="BC190" s="34">
        <f t="shared" si="47"/>
        <v>3228486.8503646851</v>
      </c>
    </row>
    <row r="191" spans="2:55">
      <c r="B191" s="2" t="s">
        <v>66</v>
      </c>
      <c r="C191" s="2" t="s">
        <v>67</v>
      </c>
      <c r="D191" s="2" t="s">
        <v>81</v>
      </c>
      <c r="E191" s="2" t="s">
        <v>79</v>
      </c>
      <c r="F191" s="2" t="s">
        <v>68</v>
      </c>
      <c r="G191" s="2" t="s">
        <v>80</v>
      </c>
      <c r="H191" s="2" t="s">
        <v>117</v>
      </c>
      <c r="I191" s="2" t="s">
        <v>117</v>
      </c>
      <c r="J191" s="2" t="s">
        <v>117</v>
      </c>
      <c r="K191" s="2" t="s">
        <v>82</v>
      </c>
      <c r="L191" s="2" t="s">
        <v>99</v>
      </c>
      <c r="M191" s="2" t="s">
        <v>91</v>
      </c>
      <c r="N191" s="2" t="s">
        <v>115</v>
      </c>
      <c r="O191" s="2" t="s">
        <v>117</v>
      </c>
      <c r="P191" s="2" t="s">
        <v>111</v>
      </c>
      <c r="Q191" s="31">
        <v>0</v>
      </c>
      <c r="R191" s="2" t="s">
        <v>117</v>
      </c>
      <c r="S191" s="2" t="s">
        <v>101</v>
      </c>
      <c r="T191" s="20">
        <v>46143</v>
      </c>
      <c r="U191" s="32">
        <v>2</v>
      </c>
      <c r="V191" s="32">
        <v>1</v>
      </c>
      <c r="W191" s="22">
        <f t="shared" si="34"/>
        <v>1300</v>
      </c>
      <c r="X191" s="22">
        <v>38778</v>
      </c>
      <c r="Y191" s="23">
        <f t="shared" si="35"/>
        <v>47260.68779585266</v>
      </c>
      <c r="Z191" s="24">
        <f t="shared" si="36"/>
        <v>1218.7500076293945</v>
      </c>
      <c r="AA191" s="30">
        <v>917.58001708984375</v>
      </c>
      <c r="AB191" s="30">
        <v>235.78999328613281</v>
      </c>
      <c r="AC191" s="30">
        <v>65.379997253417969</v>
      </c>
      <c r="AD191" s="25">
        <f t="shared" si="37"/>
        <v>937.5000058687649</v>
      </c>
      <c r="AE191" s="26">
        <f t="shared" si="38"/>
        <v>591.47180019280847</v>
      </c>
      <c r="AF191" s="26">
        <f t="shared" si="39"/>
        <v>50.292305579552284</v>
      </c>
      <c r="AG191" s="26">
        <f t="shared" si="40"/>
        <v>295.73590009640424</v>
      </c>
      <c r="AH191" s="25">
        <f t="shared" si="41"/>
        <v>36.35437522757897</v>
      </c>
      <c r="AI191" s="25">
        <f t="shared" si="42"/>
        <v>22.936093467876727</v>
      </c>
      <c r="AJ191" s="25">
        <f t="shared" si="43"/>
        <v>1.9502350257638783</v>
      </c>
      <c r="AK191" s="25">
        <f t="shared" si="44"/>
        <v>11.468046733938364</v>
      </c>
      <c r="BA191" s="34">
        <f t="shared" si="45"/>
        <v>35581917.902709961</v>
      </c>
      <c r="BB191" s="34">
        <f t="shared" si="46"/>
        <v>9143464.3596496582</v>
      </c>
      <c r="BC191" s="34">
        <f t="shared" si="47"/>
        <v>2535305.533493042</v>
      </c>
    </row>
    <row r="192" spans="2:55">
      <c r="B192" s="2" t="s">
        <v>66</v>
      </c>
      <c r="C192" s="2" t="s">
        <v>67</v>
      </c>
      <c r="D192" s="2" t="s">
        <v>81</v>
      </c>
      <c r="E192" s="2" t="s">
        <v>79</v>
      </c>
      <c r="F192" s="2" t="s">
        <v>68</v>
      </c>
      <c r="G192" s="2" t="s">
        <v>80</v>
      </c>
      <c r="H192" s="2" t="s">
        <v>117</v>
      </c>
      <c r="I192" s="2" t="s">
        <v>117</v>
      </c>
      <c r="J192" s="2" t="s">
        <v>117</v>
      </c>
      <c r="K192" s="2" t="s">
        <v>82</v>
      </c>
      <c r="L192" s="2" t="s">
        <v>99</v>
      </c>
      <c r="M192" s="2" t="s">
        <v>91</v>
      </c>
      <c r="N192" s="2" t="s">
        <v>115</v>
      </c>
      <c r="O192" s="2" t="s">
        <v>117</v>
      </c>
      <c r="P192" s="2" t="s">
        <v>111</v>
      </c>
      <c r="Q192" s="31">
        <v>0</v>
      </c>
      <c r="R192" s="2" t="s">
        <v>117</v>
      </c>
      <c r="S192" s="2" t="s">
        <v>102</v>
      </c>
      <c r="T192" s="20">
        <v>46143</v>
      </c>
      <c r="U192" s="32">
        <v>2</v>
      </c>
      <c r="V192" s="32">
        <v>1</v>
      </c>
      <c r="W192" s="22">
        <f t="shared" si="34"/>
        <v>1300</v>
      </c>
      <c r="X192" s="22">
        <v>25512</v>
      </c>
      <c r="Y192" s="23">
        <f t="shared" si="35"/>
        <v>29458.196526655196</v>
      </c>
      <c r="Z192" s="24">
        <f t="shared" si="36"/>
        <v>1154.6800143718719</v>
      </c>
      <c r="AA192" s="30">
        <v>1106.8900146484375</v>
      </c>
      <c r="AB192" s="30">
        <v>1.2200000286102295</v>
      </c>
      <c r="AC192" s="30">
        <v>46.569999694824219</v>
      </c>
      <c r="AD192" s="25">
        <f t="shared" si="37"/>
        <v>888.21539567067066</v>
      </c>
      <c r="AE192" s="26">
        <f t="shared" si="38"/>
        <v>852.39231898234436</v>
      </c>
      <c r="AF192" s="26">
        <f t="shared" si="39"/>
        <v>35.823076688326324</v>
      </c>
      <c r="AG192" s="26">
        <f t="shared" si="40"/>
        <v>0</v>
      </c>
      <c r="AH192" s="25">
        <f t="shared" si="41"/>
        <v>22.660151174350151</v>
      </c>
      <c r="AI192" s="25">
        <f t="shared" si="42"/>
        <v>21.746232841877568</v>
      </c>
      <c r="AJ192" s="25">
        <f t="shared" si="43"/>
        <v>0.91391833247258114</v>
      </c>
      <c r="AK192" s="25">
        <f t="shared" si="44"/>
        <v>0</v>
      </c>
      <c r="BA192" s="34">
        <f t="shared" si="45"/>
        <v>28238978.053710938</v>
      </c>
      <c r="BB192" s="34">
        <f t="shared" si="46"/>
        <v>31124.640729904175</v>
      </c>
      <c r="BC192" s="34">
        <f t="shared" si="47"/>
        <v>1188093.8322143555</v>
      </c>
    </row>
    <row r="193" spans="2:55">
      <c r="B193" s="2" t="s">
        <v>66</v>
      </c>
      <c r="C193" s="2" t="s">
        <v>67</v>
      </c>
      <c r="D193" s="2" t="s">
        <v>81</v>
      </c>
      <c r="E193" s="2" t="s">
        <v>79</v>
      </c>
      <c r="F193" s="2" t="s">
        <v>68</v>
      </c>
      <c r="G193" s="2" t="s">
        <v>80</v>
      </c>
      <c r="H193" s="2" t="s">
        <v>117</v>
      </c>
      <c r="I193" s="2" t="s">
        <v>117</v>
      </c>
      <c r="J193" s="2" t="s">
        <v>117</v>
      </c>
      <c r="K193" s="2" t="s">
        <v>82</v>
      </c>
      <c r="L193" s="2" t="s">
        <v>99</v>
      </c>
      <c r="M193" s="2" t="s">
        <v>91</v>
      </c>
      <c r="N193" s="2" t="s">
        <v>115</v>
      </c>
      <c r="O193" s="2" t="s">
        <v>117</v>
      </c>
      <c r="P193" s="2" t="s">
        <v>111</v>
      </c>
      <c r="Q193" s="31">
        <v>0</v>
      </c>
      <c r="R193" s="2" t="s">
        <v>117</v>
      </c>
      <c r="S193" s="2" t="s">
        <v>139</v>
      </c>
      <c r="T193" s="20">
        <v>46143</v>
      </c>
      <c r="U193" s="32">
        <v>2</v>
      </c>
      <c r="V193" s="32">
        <v>1</v>
      </c>
      <c r="W193" s="22">
        <f t="shared" si="34"/>
        <v>1300</v>
      </c>
      <c r="X193" s="22">
        <v>46325</v>
      </c>
      <c r="Y193" s="23">
        <f t="shared" si="35"/>
        <v>82755.907475471497</v>
      </c>
      <c r="Z193" s="24">
        <f t="shared" si="36"/>
        <v>1786.4200210571289</v>
      </c>
      <c r="AA193" s="30">
        <v>1463.52001953125</v>
      </c>
      <c r="AB193" s="30">
        <v>249.8800048828125</v>
      </c>
      <c r="AC193" s="30">
        <v>73.019996643066406</v>
      </c>
      <c r="AD193" s="25">
        <f t="shared" si="37"/>
        <v>1374.1692469670222</v>
      </c>
      <c r="AE193" s="26">
        <f t="shared" si="38"/>
        <v>1318.0000187800481</v>
      </c>
      <c r="AF193" s="26">
        <f t="shared" si="39"/>
        <v>56.169228186974159</v>
      </c>
      <c r="AG193" s="26">
        <f t="shared" si="40"/>
        <v>0</v>
      </c>
      <c r="AH193" s="25">
        <f t="shared" si="41"/>
        <v>63.658390365747302</v>
      </c>
      <c r="AI193" s="25">
        <f t="shared" si="42"/>
        <v>61.056350869985728</v>
      </c>
      <c r="AJ193" s="25">
        <f t="shared" si="43"/>
        <v>2.602039495761578</v>
      </c>
      <c r="AK193" s="25">
        <f t="shared" si="44"/>
        <v>0</v>
      </c>
      <c r="BA193" s="34">
        <f t="shared" si="45"/>
        <v>67797564.904785156</v>
      </c>
      <c r="BB193" s="34">
        <f t="shared" si="46"/>
        <v>11575691.226196289</v>
      </c>
      <c r="BC193" s="34">
        <f t="shared" si="47"/>
        <v>3382651.3444900513</v>
      </c>
    </row>
    <row r="194" spans="2:55">
      <c r="B194" s="2" t="s">
        <v>66</v>
      </c>
      <c r="C194" s="2" t="s">
        <v>67</v>
      </c>
      <c r="D194" s="2" t="s">
        <v>81</v>
      </c>
      <c r="E194" s="2" t="s">
        <v>79</v>
      </c>
      <c r="F194" s="2" t="s">
        <v>68</v>
      </c>
      <c r="G194" s="2" t="s">
        <v>80</v>
      </c>
      <c r="H194" s="2" t="s">
        <v>117</v>
      </c>
      <c r="I194" s="2" t="s">
        <v>117</v>
      </c>
      <c r="J194" s="2" t="s">
        <v>117</v>
      </c>
      <c r="K194" s="2" t="s">
        <v>82</v>
      </c>
      <c r="L194" s="2" t="s">
        <v>99</v>
      </c>
      <c r="M194" s="2" t="s">
        <v>91</v>
      </c>
      <c r="N194" s="2" t="s">
        <v>115</v>
      </c>
      <c r="O194" s="2" t="s">
        <v>117</v>
      </c>
      <c r="P194" s="2" t="s">
        <v>111</v>
      </c>
      <c r="Q194" s="31">
        <v>0</v>
      </c>
      <c r="R194" s="2" t="s">
        <v>117</v>
      </c>
      <c r="S194" s="2" t="s">
        <v>106</v>
      </c>
      <c r="T194" s="20">
        <v>46143</v>
      </c>
      <c r="U194" s="32">
        <v>2</v>
      </c>
      <c r="V194" s="32">
        <v>1</v>
      </c>
      <c r="W194" s="22">
        <f t="shared" si="34"/>
        <v>1300</v>
      </c>
      <c r="X194" s="22">
        <v>6457</v>
      </c>
      <c r="Y194" s="23">
        <f t="shared" si="35"/>
        <v>8353.8081182680125</v>
      </c>
      <c r="Z194" s="24">
        <f t="shared" si="36"/>
        <v>1293.7599687576294</v>
      </c>
      <c r="AA194" s="30">
        <v>1185.969970703125</v>
      </c>
      <c r="AB194" s="30">
        <v>102.23999786376953</v>
      </c>
      <c r="AC194" s="30">
        <v>5.5500001907348633</v>
      </c>
      <c r="AD194" s="25">
        <f t="shared" si="37"/>
        <v>995.19997596740723</v>
      </c>
      <c r="AE194" s="26">
        <f t="shared" si="38"/>
        <v>990.93074505145728</v>
      </c>
      <c r="AF194" s="26">
        <f t="shared" si="39"/>
        <v>4.2692309159498949</v>
      </c>
      <c r="AG194" s="26">
        <f t="shared" si="40"/>
        <v>0</v>
      </c>
      <c r="AH194" s="25">
        <f t="shared" si="41"/>
        <v>6.426006244821548</v>
      </c>
      <c r="AI194" s="25">
        <f t="shared" si="42"/>
        <v>6.3984398207972601</v>
      </c>
      <c r="AJ194" s="25">
        <f t="shared" si="43"/>
        <v>2.756642402428847E-2</v>
      </c>
      <c r="AK194" s="25">
        <f t="shared" si="44"/>
        <v>0</v>
      </c>
      <c r="BA194" s="34">
        <f t="shared" si="45"/>
        <v>7657808.1008300781</v>
      </c>
      <c r="BB194" s="34">
        <f t="shared" si="46"/>
        <v>660163.66620635986</v>
      </c>
      <c r="BC194" s="34">
        <f t="shared" si="47"/>
        <v>35836.351231575012</v>
      </c>
    </row>
    <row r="195" spans="2:55">
      <c r="B195" s="2" t="s">
        <v>66</v>
      </c>
      <c r="C195" s="2" t="s">
        <v>67</v>
      </c>
      <c r="D195" s="2" t="s">
        <v>81</v>
      </c>
      <c r="E195" s="2" t="s">
        <v>79</v>
      </c>
      <c r="F195" s="2" t="s">
        <v>68</v>
      </c>
      <c r="G195" s="2" t="s">
        <v>80</v>
      </c>
      <c r="H195" s="2" t="s">
        <v>117</v>
      </c>
      <c r="I195" s="2" t="s">
        <v>117</v>
      </c>
      <c r="J195" s="2" t="s">
        <v>117</v>
      </c>
      <c r="K195" s="2" t="s">
        <v>82</v>
      </c>
      <c r="L195" s="2" t="s">
        <v>99</v>
      </c>
      <c r="M195" s="2" t="s">
        <v>91</v>
      </c>
      <c r="N195" s="2" t="s">
        <v>115</v>
      </c>
      <c r="O195" s="2" t="s">
        <v>117</v>
      </c>
      <c r="P195" s="2" t="s">
        <v>111</v>
      </c>
      <c r="Q195" s="31">
        <v>0</v>
      </c>
      <c r="R195" s="2" t="s">
        <v>117</v>
      </c>
      <c r="S195" s="2" t="s">
        <v>105</v>
      </c>
      <c r="T195" s="20">
        <v>46143</v>
      </c>
      <c r="U195" s="32">
        <v>2</v>
      </c>
      <c r="V195" s="32">
        <v>1</v>
      </c>
      <c r="W195" s="22">
        <f t="shared" si="34"/>
        <v>1300</v>
      </c>
      <c r="X195" s="22">
        <v>42838</v>
      </c>
      <c r="Y195" s="23">
        <f t="shared" si="35"/>
        <v>57202.009021759033</v>
      </c>
      <c r="Z195" s="24">
        <f t="shared" si="36"/>
        <v>1335.3099822998047</v>
      </c>
      <c r="AA195" s="30">
        <v>1151.6099853515625</v>
      </c>
      <c r="AB195" s="30">
        <v>89.989997863769531</v>
      </c>
      <c r="AC195" s="30">
        <v>93.709999084472656</v>
      </c>
      <c r="AD195" s="25">
        <f t="shared" si="37"/>
        <v>1027.1615248460037</v>
      </c>
      <c r="AE195" s="26">
        <f t="shared" si="38"/>
        <v>955.07691016564002</v>
      </c>
      <c r="AF195" s="26">
        <f t="shared" si="39"/>
        <v>72.084614680363572</v>
      </c>
      <c r="AG195" s="26">
        <f t="shared" si="40"/>
        <v>0</v>
      </c>
      <c r="AH195" s="25">
        <f t="shared" si="41"/>
        <v>44.001545401353106</v>
      </c>
      <c r="AI195" s="25">
        <f t="shared" si="42"/>
        <v>40.913584677675686</v>
      </c>
      <c r="AJ195" s="25">
        <f t="shared" si="43"/>
        <v>3.0879607236774143</v>
      </c>
      <c r="AK195" s="25">
        <f t="shared" si="44"/>
        <v>0</v>
      </c>
      <c r="BA195" s="34">
        <f t="shared" si="45"/>
        <v>49332668.552490234</v>
      </c>
      <c r="BB195" s="34">
        <f t="shared" si="46"/>
        <v>3854991.5284881592</v>
      </c>
      <c r="BC195" s="34">
        <f t="shared" si="47"/>
        <v>4014348.9407806396</v>
      </c>
    </row>
    <row r="196" spans="2:55">
      <c r="B196" s="2" t="s">
        <v>66</v>
      </c>
      <c r="C196" s="2" t="s">
        <v>67</v>
      </c>
      <c r="D196" s="2" t="s">
        <v>81</v>
      </c>
      <c r="E196" s="2" t="s">
        <v>79</v>
      </c>
      <c r="F196" s="2" t="s">
        <v>68</v>
      </c>
      <c r="G196" s="2" t="s">
        <v>80</v>
      </c>
      <c r="H196" s="2" t="s">
        <v>117</v>
      </c>
      <c r="I196" s="2" t="s">
        <v>117</v>
      </c>
      <c r="J196" s="2" t="s">
        <v>117</v>
      </c>
      <c r="K196" s="2" t="s">
        <v>82</v>
      </c>
      <c r="L196" s="2" t="s">
        <v>99</v>
      </c>
      <c r="M196" s="2" t="s">
        <v>91</v>
      </c>
      <c r="N196" s="2" t="s">
        <v>115</v>
      </c>
      <c r="O196" s="2" t="s">
        <v>117</v>
      </c>
      <c r="P196" s="2" t="s">
        <v>111</v>
      </c>
      <c r="Q196" s="31">
        <v>0</v>
      </c>
      <c r="R196" s="2" t="s">
        <v>117</v>
      </c>
      <c r="S196" s="2" t="s">
        <v>107</v>
      </c>
      <c r="T196" s="20">
        <v>46143</v>
      </c>
      <c r="U196" s="32">
        <v>2</v>
      </c>
      <c r="V196" s="32">
        <v>1</v>
      </c>
      <c r="W196" s="22">
        <f t="shared" si="34"/>
        <v>1300</v>
      </c>
      <c r="X196" s="22">
        <v>9242</v>
      </c>
      <c r="Y196" s="23">
        <f t="shared" si="35"/>
        <v>15352.163716659546</v>
      </c>
      <c r="Z196" s="24">
        <f t="shared" si="36"/>
        <v>1661.1300277709961</v>
      </c>
      <c r="AA196" s="30">
        <v>1429.27001953125</v>
      </c>
      <c r="AB196" s="30">
        <v>154.46000671386719</v>
      </c>
      <c r="AC196" s="30">
        <v>77.400001525878906</v>
      </c>
      <c r="AD196" s="25">
        <f t="shared" si="37"/>
        <v>1277.7923290546125</v>
      </c>
      <c r="AE196" s="26">
        <f t="shared" si="38"/>
        <v>1218.2538663423979</v>
      </c>
      <c r="AF196" s="26">
        <f t="shared" si="39"/>
        <v>59.538462712214546</v>
      </c>
      <c r="AG196" s="26">
        <f t="shared" si="40"/>
        <v>0</v>
      </c>
      <c r="AH196" s="25">
        <f t="shared" si="41"/>
        <v>11.809356705122729</v>
      </c>
      <c r="AI196" s="25">
        <f t="shared" si="42"/>
        <v>11.259102232736442</v>
      </c>
      <c r="AJ196" s="25">
        <f t="shared" si="43"/>
        <v>0.55025447238628677</v>
      </c>
      <c r="AK196" s="25">
        <f t="shared" si="44"/>
        <v>0</v>
      </c>
      <c r="BA196" s="34">
        <f t="shared" si="45"/>
        <v>13209313.520507813</v>
      </c>
      <c r="BB196" s="34">
        <f t="shared" si="46"/>
        <v>1427519.3820495605</v>
      </c>
      <c r="BC196" s="34">
        <f t="shared" si="47"/>
        <v>715330.81410217285</v>
      </c>
    </row>
    <row r="197" spans="2:55">
      <c r="B197" s="2" t="s">
        <v>66</v>
      </c>
      <c r="C197" s="2" t="s">
        <v>67</v>
      </c>
      <c r="D197" s="2" t="s">
        <v>81</v>
      </c>
      <c r="E197" s="2" t="s">
        <v>79</v>
      </c>
      <c r="F197" s="2" t="s">
        <v>68</v>
      </c>
      <c r="G197" s="2" t="s">
        <v>80</v>
      </c>
      <c r="H197" s="2" t="s">
        <v>117</v>
      </c>
      <c r="I197" s="2" t="s">
        <v>117</v>
      </c>
      <c r="J197" s="2" t="s">
        <v>117</v>
      </c>
      <c r="K197" s="2" t="s">
        <v>82</v>
      </c>
      <c r="L197" s="2" t="s">
        <v>99</v>
      </c>
      <c r="M197" s="2" t="s">
        <v>91</v>
      </c>
      <c r="N197" s="2" t="s">
        <v>115</v>
      </c>
      <c r="O197" s="2" t="s">
        <v>117</v>
      </c>
      <c r="P197" s="2" t="s">
        <v>111</v>
      </c>
      <c r="Q197" s="31">
        <v>0</v>
      </c>
      <c r="R197" s="2" t="s">
        <v>117</v>
      </c>
      <c r="S197" s="2" t="s">
        <v>140</v>
      </c>
      <c r="T197" s="20">
        <v>46143</v>
      </c>
      <c r="U197" s="32">
        <v>2</v>
      </c>
      <c r="V197" s="32">
        <v>1</v>
      </c>
      <c r="W197" s="22">
        <f t="shared" si="34"/>
        <v>1300</v>
      </c>
      <c r="X197" s="22">
        <v>23946</v>
      </c>
      <c r="Y197" s="23">
        <f t="shared" si="35"/>
        <v>36521.720776153561</v>
      </c>
      <c r="Z197" s="24">
        <f t="shared" si="36"/>
        <v>1525.1699981689453</v>
      </c>
      <c r="AA197" s="30">
        <v>1391.6199951171875</v>
      </c>
      <c r="AB197" s="30">
        <v>120.12000274658203</v>
      </c>
      <c r="AC197" s="30">
        <v>13.430000305175781</v>
      </c>
      <c r="AD197" s="25">
        <f t="shared" si="37"/>
        <v>1173.2076908991887</v>
      </c>
      <c r="AE197" s="26">
        <f t="shared" si="38"/>
        <v>1162.8769214336689</v>
      </c>
      <c r="AF197" s="26">
        <f t="shared" si="39"/>
        <v>10.330769465519831</v>
      </c>
      <c r="AG197" s="26">
        <f t="shared" si="40"/>
        <v>0</v>
      </c>
      <c r="AH197" s="25">
        <f t="shared" si="41"/>
        <v>28.093631366271971</v>
      </c>
      <c r="AI197" s="25">
        <f t="shared" si="42"/>
        <v>27.846250760650634</v>
      </c>
      <c r="AJ197" s="25">
        <f t="shared" si="43"/>
        <v>0.24738060562133787</v>
      </c>
      <c r="AK197" s="25">
        <f t="shared" si="44"/>
        <v>0</v>
      </c>
      <c r="BA197" s="34">
        <f t="shared" si="45"/>
        <v>33323732.403076172</v>
      </c>
      <c r="BB197" s="34">
        <f t="shared" si="46"/>
        <v>2876393.5857696533</v>
      </c>
      <c r="BC197" s="34">
        <f t="shared" si="47"/>
        <v>321594.78730773926</v>
      </c>
    </row>
    <row r="198" spans="2:55">
      <c r="B198" s="2" t="s">
        <v>66</v>
      </c>
      <c r="C198" s="2" t="s">
        <v>67</v>
      </c>
      <c r="D198" s="2" t="s">
        <v>81</v>
      </c>
      <c r="E198" s="2" t="s">
        <v>79</v>
      </c>
      <c r="F198" s="2" t="s">
        <v>68</v>
      </c>
      <c r="G198" s="2" t="s">
        <v>80</v>
      </c>
      <c r="H198" s="2" t="s">
        <v>117</v>
      </c>
      <c r="I198" s="2" t="s">
        <v>117</v>
      </c>
      <c r="J198" s="2" t="s">
        <v>117</v>
      </c>
      <c r="K198" s="2" t="s">
        <v>82</v>
      </c>
      <c r="L198" s="2" t="s">
        <v>99</v>
      </c>
      <c r="M198" s="2" t="s">
        <v>91</v>
      </c>
      <c r="N198" s="2" t="s">
        <v>115</v>
      </c>
      <c r="O198" s="2" t="s">
        <v>117</v>
      </c>
      <c r="P198" s="2" t="s">
        <v>111</v>
      </c>
      <c r="Q198" s="31">
        <v>0</v>
      </c>
      <c r="R198" s="2" t="s">
        <v>117</v>
      </c>
      <c r="S198" s="2" t="s">
        <v>109</v>
      </c>
      <c r="T198" s="20">
        <v>46143</v>
      </c>
      <c r="U198" s="32">
        <v>2</v>
      </c>
      <c r="V198" s="32">
        <v>1</v>
      </c>
      <c r="W198" s="22">
        <f t="shared" si="34"/>
        <v>1300</v>
      </c>
      <c r="X198" s="22">
        <v>29886</v>
      </c>
      <c r="Y198" s="23">
        <f t="shared" si="35"/>
        <v>32808.850492183687</v>
      </c>
      <c r="Z198" s="24">
        <f t="shared" si="36"/>
        <v>1097.7999897003174</v>
      </c>
      <c r="AA198" s="30">
        <v>827.79998779296875</v>
      </c>
      <c r="AB198" s="30">
        <v>242.97000122070313</v>
      </c>
      <c r="AC198" s="30">
        <v>27.030000686645508</v>
      </c>
      <c r="AD198" s="25">
        <f t="shared" si="37"/>
        <v>844.46153053870569</v>
      </c>
      <c r="AE198" s="26">
        <f t="shared" si="38"/>
        <v>823.66922231820911</v>
      </c>
      <c r="AF198" s="26">
        <f t="shared" si="39"/>
        <v>20.792308220496544</v>
      </c>
      <c r="AG198" s="26">
        <f t="shared" si="40"/>
        <v>0</v>
      </c>
      <c r="AH198" s="25">
        <f t="shared" si="41"/>
        <v>25.237577301679757</v>
      </c>
      <c r="AI198" s="25">
        <f t="shared" si="42"/>
        <v>24.616178378201997</v>
      </c>
      <c r="AJ198" s="25">
        <f t="shared" si="43"/>
        <v>0.62139892347775971</v>
      </c>
      <c r="AK198" s="25">
        <f t="shared" si="44"/>
        <v>0</v>
      </c>
      <c r="BA198" s="34">
        <f t="shared" si="45"/>
        <v>24739630.435180664</v>
      </c>
      <c r="BB198" s="34">
        <f t="shared" si="46"/>
        <v>7261401.4564819336</v>
      </c>
      <c r="BC198" s="34">
        <f t="shared" si="47"/>
        <v>807818.60052108765</v>
      </c>
    </row>
    <row r="199" spans="2:55">
      <c r="B199" s="2" t="s">
        <v>66</v>
      </c>
      <c r="C199" s="2" t="s">
        <v>67</v>
      </c>
      <c r="D199" s="2" t="s">
        <v>81</v>
      </c>
      <c r="E199" s="2" t="s">
        <v>79</v>
      </c>
      <c r="F199" s="2" t="s">
        <v>68</v>
      </c>
      <c r="G199" s="2" t="s">
        <v>80</v>
      </c>
      <c r="H199" s="2" t="s">
        <v>117</v>
      </c>
      <c r="I199" s="2" t="s">
        <v>117</v>
      </c>
      <c r="J199" s="2" t="s">
        <v>117</v>
      </c>
      <c r="K199" s="2" t="s">
        <v>82</v>
      </c>
      <c r="L199" s="2" t="s">
        <v>99</v>
      </c>
      <c r="M199" s="2" t="s">
        <v>91</v>
      </c>
      <c r="N199" s="2" t="s">
        <v>115</v>
      </c>
      <c r="O199" s="2" t="s">
        <v>117</v>
      </c>
      <c r="P199" s="2" t="s">
        <v>111</v>
      </c>
      <c r="Q199" s="31">
        <v>0</v>
      </c>
      <c r="R199" s="2" t="s">
        <v>117</v>
      </c>
      <c r="S199" s="2" t="s">
        <v>108</v>
      </c>
      <c r="T199" s="20">
        <v>46143</v>
      </c>
      <c r="U199" s="32">
        <v>2</v>
      </c>
      <c r="V199" s="32">
        <v>1</v>
      </c>
      <c r="W199" s="22">
        <f t="shared" ref="W199:W262" si="48">IF(K199="내수", 1, 1300)</f>
        <v>1300</v>
      </c>
      <c r="X199" s="22">
        <v>17311</v>
      </c>
      <c r="Y199" s="23">
        <f t="shared" ref="Y199:Y262" si="49">X199*Z199/1000</f>
        <v>23859.40420039749</v>
      </c>
      <c r="Z199" s="24">
        <f t="shared" ref="Z199:Z262" si="50">AA199+AB199+AC199</f>
        <v>1378.2799491882324</v>
      </c>
      <c r="AA199" s="30">
        <v>1255.8199462890625</v>
      </c>
      <c r="AB199" s="30">
        <v>33.990001678466797</v>
      </c>
      <c r="AC199" s="30">
        <v>88.470001220703125</v>
      </c>
      <c r="AD199" s="25">
        <f t="shared" ref="AD199:AD241" si="51">AE199+AF199+AG199</f>
        <v>1060.2153455294097</v>
      </c>
      <c r="AE199" s="26">
        <f t="shared" ref="AE199:AE262" si="52">IF(K199="내수",,IF(S199="미국",((AA199+AB199)*2/3)/W199*1000,(AA199+AB199)/W199*1000))</f>
        <v>992.16149843656103</v>
      </c>
      <c r="AF199" s="26">
        <f t="shared" ref="AF199:AF262" si="53">IF(K199="내수",,AC199/W199*1000)</f>
        <v>68.053847092848557</v>
      </c>
      <c r="AG199" s="26">
        <f t="shared" ref="AG199:AG262" si="54">IF(S199="미국", AE199/2,)</f>
        <v>0</v>
      </c>
      <c r="AH199" s="25">
        <f t="shared" ref="AH199:AH241" si="55">IF($K199="수출",AD199*$X199/1000000,)</f>
        <v>18.353387846459611</v>
      </c>
      <c r="AI199" s="25">
        <f t="shared" ref="AI199:AI241" si="56">IF($K199="수출",AE199*$X199/1000000,)</f>
        <v>17.175307699435308</v>
      </c>
      <c r="AJ199" s="25">
        <f t="shared" ref="AJ199:AJ241" si="57">IF($K199="수출",AF199*$X199/1000000,)</f>
        <v>1.1780801470243014</v>
      </c>
      <c r="AK199" s="25">
        <f t="shared" ref="AK199:AK241" si="58">IF($K199="수출",AG199*$X199/1000000,)</f>
        <v>0</v>
      </c>
      <c r="BA199" s="34">
        <f t="shared" ref="BA199:BA262" si="59">AA199*X199</f>
        <v>21739499.090209961</v>
      </c>
      <c r="BB199" s="34">
        <f t="shared" ref="BB199:BB262" si="60">AB199*X199</f>
        <v>588400.91905593872</v>
      </c>
      <c r="BC199" s="34">
        <f t="shared" ref="BC199:BC262" si="61">AC199*X199</f>
        <v>1531504.1911315918</v>
      </c>
    </row>
    <row r="200" spans="2:55">
      <c r="B200" s="2" t="s">
        <v>66</v>
      </c>
      <c r="C200" s="2" t="s">
        <v>67</v>
      </c>
      <c r="D200" s="2" t="s">
        <v>81</v>
      </c>
      <c r="E200" s="2" t="s">
        <v>79</v>
      </c>
      <c r="F200" s="2" t="s">
        <v>68</v>
      </c>
      <c r="G200" s="2" t="s">
        <v>80</v>
      </c>
      <c r="H200" s="2" t="s">
        <v>117</v>
      </c>
      <c r="I200" s="2" t="s">
        <v>117</v>
      </c>
      <c r="J200" s="2" t="s">
        <v>117</v>
      </c>
      <c r="K200" s="2" t="s">
        <v>82</v>
      </c>
      <c r="L200" s="2" t="s">
        <v>99</v>
      </c>
      <c r="M200" s="2" t="s">
        <v>91</v>
      </c>
      <c r="N200" s="2" t="s">
        <v>115</v>
      </c>
      <c r="O200" s="2" t="s">
        <v>117</v>
      </c>
      <c r="P200" s="2" t="s">
        <v>111</v>
      </c>
      <c r="Q200" s="31">
        <v>0</v>
      </c>
      <c r="R200" s="2" t="s">
        <v>117</v>
      </c>
      <c r="S200" s="2" t="s">
        <v>103</v>
      </c>
      <c r="T200" s="20">
        <v>46143</v>
      </c>
      <c r="U200" s="32">
        <v>2</v>
      </c>
      <c r="V200" s="32">
        <v>1</v>
      </c>
      <c r="W200" s="22">
        <f t="shared" si="48"/>
        <v>1300</v>
      </c>
      <c r="X200" s="22">
        <v>8942</v>
      </c>
      <c r="Y200" s="23">
        <f t="shared" si="49"/>
        <v>10795.586889715194</v>
      </c>
      <c r="Z200" s="24">
        <f t="shared" si="50"/>
        <v>1207.2899675369263</v>
      </c>
      <c r="AA200" s="30">
        <v>1035.0899658203125</v>
      </c>
      <c r="AB200" s="30">
        <v>157.58000183105469</v>
      </c>
      <c r="AC200" s="30">
        <v>14.619999885559082</v>
      </c>
      <c r="AD200" s="25">
        <f t="shared" si="51"/>
        <v>928.68459041302015</v>
      </c>
      <c r="AE200" s="26">
        <f t="shared" si="52"/>
        <v>917.43843665489783</v>
      </c>
      <c r="AF200" s="26">
        <f t="shared" si="53"/>
        <v>11.24615375812237</v>
      </c>
      <c r="AG200" s="26">
        <f t="shared" si="54"/>
        <v>0</v>
      </c>
      <c r="AH200" s="25">
        <f t="shared" si="55"/>
        <v>8.3042976074732255</v>
      </c>
      <c r="AI200" s="25">
        <f t="shared" si="56"/>
        <v>8.2037345005680962</v>
      </c>
      <c r="AJ200" s="25">
        <f t="shared" si="57"/>
        <v>0.10056310690513023</v>
      </c>
      <c r="AK200" s="25">
        <f t="shared" si="58"/>
        <v>0</v>
      </c>
      <c r="BA200" s="34">
        <f t="shared" si="59"/>
        <v>9255774.4743652344</v>
      </c>
      <c r="BB200" s="34">
        <f t="shared" si="60"/>
        <v>1409080.376373291</v>
      </c>
      <c r="BC200" s="34">
        <f t="shared" si="61"/>
        <v>130732.03897666931</v>
      </c>
    </row>
    <row r="201" spans="2:55">
      <c r="B201" s="2" t="s">
        <v>66</v>
      </c>
      <c r="C201" s="2" t="s">
        <v>67</v>
      </c>
      <c r="D201" s="2" t="s">
        <v>81</v>
      </c>
      <c r="E201" s="2" t="s">
        <v>79</v>
      </c>
      <c r="F201" s="2" t="s">
        <v>68</v>
      </c>
      <c r="G201" s="2" t="s">
        <v>80</v>
      </c>
      <c r="H201" s="2" t="s">
        <v>117</v>
      </c>
      <c r="I201" s="2" t="s">
        <v>117</v>
      </c>
      <c r="J201" s="2" t="s">
        <v>117</v>
      </c>
      <c r="K201" s="2" t="s">
        <v>82</v>
      </c>
      <c r="L201" s="2" t="s">
        <v>99</v>
      </c>
      <c r="M201" s="2" t="s">
        <v>91</v>
      </c>
      <c r="N201" s="2" t="s">
        <v>115</v>
      </c>
      <c r="O201" s="2" t="s">
        <v>117</v>
      </c>
      <c r="P201" s="2" t="s">
        <v>111</v>
      </c>
      <c r="Q201" s="31">
        <v>0</v>
      </c>
      <c r="R201" s="2" t="s">
        <v>117</v>
      </c>
      <c r="S201" s="2" t="s">
        <v>104</v>
      </c>
      <c r="T201" s="20">
        <v>46143</v>
      </c>
      <c r="U201" s="32">
        <v>2</v>
      </c>
      <c r="V201" s="32">
        <v>1</v>
      </c>
      <c r="W201" s="22">
        <f t="shared" si="48"/>
        <v>1300</v>
      </c>
      <c r="X201" s="22">
        <v>7625</v>
      </c>
      <c r="Y201" s="23">
        <f t="shared" si="49"/>
        <v>10517.848338127136</v>
      </c>
      <c r="Z201" s="24">
        <f t="shared" si="50"/>
        <v>1379.3899459838867</v>
      </c>
      <c r="AA201" s="30">
        <v>1078.949951171875</v>
      </c>
      <c r="AB201" s="30">
        <v>204.97999572753906</v>
      </c>
      <c r="AC201" s="30">
        <v>95.459999084472656</v>
      </c>
      <c r="AD201" s="25">
        <f t="shared" si="51"/>
        <v>1061.0691892183743</v>
      </c>
      <c r="AE201" s="26">
        <f t="shared" si="52"/>
        <v>987.63842069185694</v>
      </c>
      <c r="AF201" s="26">
        <f t="shared" si="53"/>
        <v>73.43076852651744</v>
      </c>
      <c r="AG201" s="26">
        <f t="shared" si="54"/>
        <v>0</v>
      </c>
      <c r="AH201" s="25">
        <f t="shared" si="55"/>
        <v>8.0906525677901033</v>
      </c>
      <c r="AI201" s="25">
        <f t="shared" si="56"/>
        <v>7.5307429577754093</v>
      </c>
      <c r="AJ201" s="25">
        <f t="shared" si="57"/>
        <v>0.55990961001469541</v>
      </c>
      <c r="AK201" s="25">
        <f t="shared" si="58"/>
        <v>0</v>
      </c>
      <c r="BA201" s="34">
        <f t="shared" si="59"/>
        <v>8226993.3776855469</v>
      </c>
      <c r="BB201" s="34">
        <f t="shared" si="60"/>
        <v>1562972.4674224854</v>
      </c>
      <c r="BC201" s="34">
        <f t="shared" si="61"/>
        <v>727882.493019104</v>
      </c>
    </row>
    <row r="202" spans="2:55">
      <c r="B202" s="2" t="s">
        <v>66</v>
      </c>
      <c r="C202" s="2" t="s">
        <v>67</v>
      </c>
      <c r="D202" s="2" t="s">
        <v>81</v>
      </c>
      <c r="E202" s="2" t="s">
        <v>79</v>
      </c>
      <c r="F202" s="2" t="s">
        <v>68</v>
      </c>
      <c r="G202" s="2" t="s">
        <v>80</v>
      </c>
      <c r="H202" s="2" t="s">
        <v>117</v>
      </c>
      <c r="I202" s="2" t="s">
        <v>117</v>
      </c>
      <c r="J202" s="2" t="s">
        <v>117</v>
      </c>
      <c r="K202" s="2" t="s">
        <v>69</v>
      </c>
      <c r="L202" s="2" t="s">
        <v>97</v>
      </c>
      <c r="M202" s="2" t="s">
        <v>88</v>
      </c>
      <c r="N202" s="2" t="s">
        <v>118</v>
      </c>
      <c r="O202" s="2" t="s">
        <v>117</v>
      </c>
      <c r="P202" s="2" t="s">
        <v>111</v>
      </c>
      <c r="Q202" s="31" t="s">
        <v>131</v>
      </c>
      <c r="R202" s="2" t="s">
        <v>117</v>
      </c>
      <c r="S202" s="2" t="s">
        <v>120</v>
      </c>
      <c r="T202" s="20">
        <v>46174</v>
      </c>
      <c r="U202" s="32">
        <v>2</v>
      </c>
      <c r="V202" s="32">
        <v>1</v>
      </c>
      <c r="W202" s="22">
        <f t="shared" si="48"/>
        <v>1</v>
      </c>
      <c r="X202" s="22">
        <v>6491</v>
      </c>
      <c r="Y202" s="23">
        <f t="shared" si="49"/>
        <v>8799.1997634239196</v>
      </c>
      <c r="Z202" s="24">
        <f t="shared" si="50"/>
        <v>1355.600025177002</v>
      </c>
      <c r="AA202" s="30">
        <v>1167.1500244140625</v>
      </c>
      <c r="AB202" s="30">
        <v>142.75</v>
      </c>
      <c r="AC202" s="30">
        <v>45.700000762939453</v>
      </c>
      <c r="AD202" s="25">
        <f t="shared" si="51"/>
        <v>0</v>
      </c>
      <c r="AE202" s="26">
        <f t="shared" si="52"/>
        <v>0</v>
      </c>
      <c r="AF202" s="26">
        <f t="shared" si="53"/>
        <v>0</v>
      </c>
      <c r="AG202" s="26">
        <f t="shared" si="54"/>
        <v>0</v>
      </c>
      <c r="AH202" s="25">
        <f t="shared" si="55"/>
        <v>0</v>
      </c>
      <c r="AI202" s="25">
        <f t="shared" si="56"/>
        <v>0</v>
      </c>
      <c r="AJ202" s="25">
        <f t="shared" si="57"/>
        <v>0</v>
      </c>
      <c r="AK202" s="25">
        <f t="shared" si="58"/>
        <v>0</v>
      </c>
      <c r="BA202" s="34">
        <f t="shared" si="59"/>
        <v>7575970.8084716797</v>
      </c>
      <c r="BB202" s="34">
        <f t="shared" si="60"/>
        <v>926590.25</v>
      </c>
      <c r="BC202" s="34">
        <f t="shared" si="61"/>
        <v>296638.70495223999</v>
      </c>
    </row>
    <row r="203" spans="2:55">
      <c r="B203" s="2" t="s">
        <v>66</v>
      </c>
      <c r="C203" s="2" t="s">
        <v>67</v>
      </c>
      <c r="D203" s="2" t="s">
        <v>81</v>
      </c>
      <c r="E203" s="2" t="s">
        <v>79</v>
      </c>
      <c r="F203" s="2" t="s">
        <v>68</v>
      </c>
      <c r="G203" s="2" t="s">
        <v>80</v>
      </c>
      <c r="H203" s="2" t="s">
        <v>117</v>
      </c>
      <c r="I203" s="2" t="s">
        <v>117</v>
      </c>
      <c r="J203" s="2" t="s">
        <v>117</v>
      </c>
      <c r="K203" s="2" t="s">
        <v>69</v>
      </c>
      <c r="L203" s="2" t="s">
        <v>97</v>
      </c>
      <c r="M203" s="2" t="s">
        <v>88</v>
      </c>
      <c r="N203" s="2" t="s">
        <v>118</v>
      </c>
      <c r="O203" s="2" t="s">
        <v>117</v>
      </c>
      <c r="P203" s="2" t="s">
        <v>111</v>
      </c>
      <c r="Q203" s="31" t="s">
        <v>132</v>
      </c>
      <c r="R203" s="2" t="s">
        <v>117</v>
      </c>
      <c r="S203" s="2" t="s">
        <v>120</v>
      </c>
      <c r="T203" s="20">
        <v>46174</v>
      </c>
      <c r="U203" s="32">
        <v>2</v>
      </c>
      <c r="V203" s="32">
        <v>1</v>
      </c>
      <c r="W203" s="22">
        <f t="shared" si="48"/>
        <v>1</v>
      </c>
      <c r="X203" s="22">
        <v>11611</v>
      </c>
      <c r="Y203" s="23">
        <f t="shared" si="49"/>
        <v>15974.298320724487</v>
      </c>
      <c r="Z203" s="24">
        <f t="shared" si="50"/>
        <v>1375.7900543212891</v>
      </c>
      <c r="AA203" s="30">
        <v>1258.31005859375</v>
      </c>
      <c r="AB203" s="30">
        <v>36.169998168945313</v>
      </c>
      <c r="AC203" s="30">
        <v>81.30999755859375</v>
      </c>
      <c r="AD203" s="25">
        <f t="shared" si="51"/>
        <v>0</v>
      </c>
      <c r="AE203" s="26">
        <f t="shared" si="52"/>
        <v>0</v>
      </c>
      <c r="AF203" s="26">
        <f t="shared" si="53"/>
        <v>0</v>
      </c>
      <c r="AG203" s="26">
        <f t="shared" si="54"/>
        <v>0</v>
      </c>
      <c r="AH203" s="25">
        <f t="shared" si="55"/>
        <v>0</v>
      </c>
      <c r="AI203" s="25">
        <f t="shared" si="56"/>
        <v>0</v>
      </c>
      <c r="AJ203" s="25">
        <f t="shared" si="57"/>
        <v>0</v>
      </c>
      <c r="AK203" s="25">
        <f t="shared" si="58"/>
        <v>0</v>
      </c>
      <c r="BA203" s="34">
        <f t="shared" si="59"/>
        <v>14610238.090332031</v>
      </c>
      <c r="BB203" s="34">
        <f t="shared" si="60"/>
        <v>419969.84873962402</v>
      </c>
      <c r="BC203" s="34">
        <f t="shared" si="61"/>
        <v>944090.38165283203</v>
      </c>
    </row>
    <row r="204" spans="2:55">
      <c r="B204" s="2" t="s">
        <v>66</v>
      </c>
      <c r="C204" s="2" t="s">
        <v>67</v>
      </c>
      <c r="D204" s="2" t="s">
        <v>81</v>
      </c>
      <c r="E204" s="2" t="s">
        <v>79</v>
      </c>
      <c r="F204" s="2" t="s">
        <v>68</v>
      </c>
      <c r="G204" s="2" t="s">
        <v>80</v>
      </c>
      <c r="H204" s="2" t="s">
        <v>117</v>
      </c>
      <c r="I204" s="2" t="s">
        <v>117</v>
      </c>
      <c r="J204" s="2" t="s">
        <v>117</v>
      </c>
      <c r="K204" s="2" t="s">
        <v>69</v>
      </c>
      <c r="L204" s="2" t="s">
        <v>97</v>
      </c>
      <c r="M204" s="2" t="s">
        <v>88</v>
      </c>
      <c r="N204" s="2" t="s">
        <v>118</v>
      </c>
      <c r="O204" s="2" t="s">
        <v>117</v>
      </c>
      <c r="P204" s="2" t="s">
        <v>111</v>
      </c>
      <c r="Q204" s="31" t="s">
        <v>133</v>
      </c>
      <c r="R204" s="2" t="s">
        <v>117</v>
      </c>
      <c r="S204" s="2" t="s">
        <v>120</v>
      </c>
      <c r="T204" s="20">
        <v>46174</v>
      </c>
      <c r="U204" s="32">
        <v>2</v>
      </c>
      <c r="V204" s="32">
        <v>1</v>
      </c>
      <c r="W204" s="22">
        <f t="shared" si="48"/>
        <v>1</v>
      </c>
      <c r="X204" s="22">
        <v>27150</v>
      </c>
      <c r="Y204" s="23">
        <f t="shared" si="49"/>
        <v>42659.436930370328</v>
      </c>
      <c r="Z204" s="24">
        <f t="shared" si="50"/>
        <v>1571.249979019165</v>
      </c>
      <c r="AA204" s="30">
        <v>1402.47998046875</v>
      </c>
      <c r="AB204" s="30">
        <v>147.66999816894531</v>
      </c>
      <c r="AC204" s="30">
        <v>21.100000381469727</v>
      </c>
      <c r="AD204" s="25">
        <f t="shared" si="51"/>
        <v>0</v>
      </c>
      <c r="AE204" s="26">
        <f t="shared" si="52"/>
        <v>0</v>
      </c>
      <c r="AF204" s="26">
        <f t="shared" si="53"/>
        <v>0</v>
      </c>
      <c r="AG204" s="26">
        <f t="shared" si="54"/>
        <v>0</v>
      </c>
      <c r="AH204" s="25">
        <f t="shared" si="55"/>
        <v>0</v>
      </c>
      <c r="AI204" s="25">
        <f t="shared" si="56"/>
        <v>0</v>
      </c>
      <c r="AJ204" s="25">
        <f t="shared" si="57"/>
        <v>0</v>
      </c>
      <c r="AK204" s="25">
        <f t="shared" si="58"/>
        <v>0</v>
      </c>
      <c r="BA204" s="34">
        <f t="shared" si="59"/>
        <v>38077331.469726563</v>
      </c>
      <c r="BB204" s="34">
        <f t="shared" si="60"/>
        <v>4009240.4502868652</v>
      </c>
      <c r="BC204" s="34">
        <f t="shared" si="61"/>
        <v>572865.01035690308</v>
      </c>
    </row>
    <row r="205" spans="2:55">
      <c r="B205" s="2" t="s">
        <v>66</v>
      </c>
      <c r="C205" s="2" t="s">
        <v>67</v>
      </c>
      <c r="D205" s="2" t="s">
        <v>81</v>
      </c>
      <c r="E205" s="2" t="s">
        <v>79</v>
      </c>
      <c r="F205" s="2" t="s">
        <v>68</v>
      </c>
      <c r="G205" s="2" t="s">
        <v>80</v>
      </c>
      <c r="H205" s="2" t="s">
        <v>134</v>
      </c>
      <c r="I205" s="2" t="s">
        <v>117</v>
      </c>
      <c r="J205" s="2" t="s">
        <v>117</v>
      </c>
      <c r="K205" s="2" t="s">
        <v>69</v>
      </c>
      <c r="L205" s="2" t="s">
        <v>97</v>
      </c>
      <c r="M205" s="2" t="s">
        <v>88</v>
      </c>
      <c r="N205" s="2" t="s">
        <v>118</v>
      </c>
      <c r="O205" s="2" t="s">
        <v>117</v>
      </c>
      <c r="P205" s="2" t="s">
        <v>111</v>
      </c>
      <c r="Q205" s="31">
        <v>0</v>
      </c>
      <c r="R205" s="2" t="s">
        <v>117</v>
      </c>
      <c r="S205" s="2" t="s">
        <v>120</v>
      </c>
      <c r="T205" s="20">
        <v>46174</v>
      </c>
      <c r="U205" s="32">
        <v>2</v>
      </c>
      <c r="V205" s="32">
        <v>1</v>
      </c>
      <c r="W205" s="22">
        <f t="shared" si="48"/>
        <v>1</v>
      </c>
      <c r="X205" s="22">
        <v>3025</v>
      </c>
      <c r="Y205" s="23">
        <f t="shared" si="49"/>
        <v>3863.6208178520201</v>
      </c>
      <c r="Z205" s="24">
        <f t="shared" si="50"/>
        <v>1277.2300224304199</v>
      </c>
      <c r="AA205" s="30">
        <v>1053.6400146484375</v>
      </c>
      <c r="AB205" s="30">
        <v>210.32000732421875</v>
      </c>
      <c r="AC205" s="30">
        <v>13.270000457763672</v>
      </c>
      <c r="AD205" s="25">
        <f t="shared" si="51"/>
        <v>0</v>
      </c>
      <c r="AE205" s="26">
        <f t="shared" si="52"/>
        <v>0</v>
      </c>
      <c r="AF205" s="26">
        <f t="shared" si="53"/>
        <v>0</v>
      </c>
      <c r="AG205" s="26">
        <f t="shared" si="54"/>
        <v>0</v>
      </c>
      <c r="AH205" s="25">
        <f t="shared" si="55"/>
        <v>0</v>
      </c>
      <c r="AI205" s="25">
        <f t="shared" si="56"/>
        <v>0</v>
      </c>
      <c r="AJ205" s="25">
        <f t="shared" si="57"/>
        <v>0</v>
      </c>
      <c r="AK205" s="25">
        <f t="shared" si="58"/>
        <v>0</v>
      </c>
      <c r="BA205" s="34">
        <f t="shared" si="59"/>
        <v>3187261.0443115234</v>
      </c>
      <c r="BB205" s="34">
        <f t="shared" si="60"/>
        <v>636218.02215576172</v>
      </c>
      <c r="BC205" s="34">
        <f t="shared" si="61"/>
        <v>40141.751384735107</v>
      </c>
    </row>
    <row r="206" spans="2:55">
      <c r="B206" s="2" t="s">
        <v>66</v>
      </c>
      <c r="C206" s="2" t="s">
        <v>67</v>
      </c>
      <c r="D206" s="2" t="s">
        <v>81</v>
      </c>
      <c r="E206" s="2" t="s">
        <v>79</v>
      </c>
      <c r="F206" s="2" t="s">
        <v>68</v>
      </c>
      <c r="G206" s="2" t="s">
        <v>80</v>
      </c>
      <c r="H206" s="2" t="s">
        <v>135</v>
      </c>
      <c r="I206" s="2" t="s">
        <v>117</v>
      </c>
      <c r="J206" s="2" t="s">
        <v>117</v>
      </c>
      <c r="K206" s="2" t="s">
        <v>69</v>
      </c>
      <c r="L206" s="2" t="s">
        <v>97</v>
      </c>
      <c r="M206" s="2" t="s">
        <v>88</v>
      </c>
      <c r="N206" s="2" t="s">
        <v>118</v>
      </c>
      <c r="O206" s="2" t="s">
        <v>117</v>
      </c>
      <c r="P206" s="2" t="s">
        <v>111</v>
      </c>
      <c r="Q206" s="31">
        <v>0</v>
      </c>
      <c r="R206" s="2" t="s">
        <v>117</v>
      </c>
      <c r="S206" s="2" t="s">
        <v>120</v>
      </c>
      <c r="T206" s="20">
        <v>46174</v>
      </c>
      <c r="U206" s="32">
        <v>2</v>
      </c>
      <c r="V206" s="32">
        <v>1</v>
      </c>
      <c r="W206" s="22">
        <f t="shared" si="48"/>
        <v>1</v>
      </c>
      <c r="X206" s="22">
        <v>45063</v>
      </c>
      <c r="Y206" s="23">
        <f t="shared" si="49"/>
        <v>60622.803655059812</v>
      </c>
      <c r="Z206" s="24">
        <f t="shared" si="50"/>
        <v>1345.2900085449219</v>
      </c>
      <c r="AA206" s="30">
        <v>982.1199951171875</v>
      </c>
      <c r="AB206" s="30">
        <v>276.20001220703125</v>
      </c>
      <c r="AC206" s="30">
        <v>86.970001220703125</v>
      </c>
      <c r="AD206" s="25">
        <f t="shared" si="51"/>
        <v>0</v>
      </c>
      <c r="AE206" s="26">
        <f t="shared" si="52"/>
        <v>0</v>
      </c>
      <c r="AF206" s="26">
        <f t="shared" si="53"/>
        <v>0</v>
      </c>
      <c r="AG206" s="26">
        <f t="shared" si="54"/>
        <v>0</v>
      </c>
      <c r="AH206" s="25">
        <f t="shared" si="55"/>
        <v>0</v>
      </c>
      <c r="AI206" s="25">
        <f t="shared" si="56"/>
        <v>0</v>
      </c>
      <c r="AJ206" s="25">
        <f t="shared" si="57"/>
        <v>0</v>
      </c>
      <c r="AK206" s="25">
        <f t="shared" si="58"/>
        <v>0</v>
      </c>
      <c r="BA206" s="34">
        <f t="shared" si="59"/>
        <v>44257273.33996582</v>
      </c>
      <c r="BB206" s="34">
        <f t="shared" si="60"/>
        <v>12446401.150085449</v>
      </c>
      <c r="BC206" s="34">
        <f t="shared" si="61"/>
        <v>3919129.1650085449</v>
      </c>
    </row>
    <row r="207" spans="2:55">
      <c r="B207" s="2" t="s">
        <v>66</v>
      </c>
      <c r="C207" s="2" t="s">
        <v>67</v>
      </c>
      <c r="D207" s="2" t="s">
        <v>81</v>
      </c>
      <c r="E207" s="2" t="s">
        <v>79</v>
      </c>
      <c r="F207" s="2" t="s">
        <v>68</v>
      </c>
      <c r="G207" s="28" t="s">
        <v>80</v>
      </c>
      <c r="H207" s="2" t="s">
        <v>117</v>
      </c>
      <c r="I207" s="2" t="s">
        <v>117</v>
      </c>
      <c r="J207" s="2" t="s">
        <v>117</v>
      </c>
      <c r="K207" s="2" t="s">
        <v>69</v>
      </c>
      <c r="L207" s="2" t="s">
        <v>97</v>
      </c>
      <c r="M207" s="2" t="s">
        <v>89</v>
      </c>
      <c r="N207" s="2" t="s">
        <v>119</v>
      </c>
      <c r="O207" s="2" t="s">
        <v>117</v>
      </c>
      <c r="P207" s="2" t="s">
        <v>111</v>
      </c>
      <c r="Q207" s="31" t="s">
        <v>131</v>
      </c>
      <c r="R207" s="2" t="s">
        <v>117</v>
      </c>
      <c r="S207" s="2" t="s">
        <v>120</v>
      </c>
      <c r="T207" s="20">
        <v>46174</v>
      </c>
      <c r="U207" s="32">
        <v>2</v>
      </c>
      <c r="V207" s="32">
        <v>1</v>
      </c>
      <c r="W207" s="22">
        <f t="shared" si="48"/>
        <v>1</v>
      </c>
      <c r="X207" s="22">
        <v>37653</v>
      </c>
      <c r="Y207" s="23">
        <f t="shared" si="49"/>
        <v>58586.560624631878</v>
      </c>
      <c r="Z207" s="24">
        <f t="shared" si="50"/>
        <v>1555.9599666595459</v>
      </c>
      <c r="AA207" s="30">
        <v>1387.2099609375</v>
      </c>
      <c r="AB207" s="30">
        <v>139.8800048828125</v>
      </c>
      <c r="AC207" s="30">
        <v>28.870000839233398</v>
      </c>
      <c r="AD207" s="25">
        <f t="shared" si="51"/>
        <v>0</v>
      </c>
      <c r="AE207" s="26">
        <f t="shared" si="52"/>
        <v>0</v>
      </c>
      <c r="AF207" s="26">
        <f t="shared" si="53"/>
        <v>0</v>
      </c>
      <c r="AG207" s="26">
        <f t="shared" si="54"/>
        <v>0</v>
      </c>
      <c r="AH207" s="25">
        <f t="shared" si="55"/>
        <v>0</v>
      </c>
      <c r="AI207" s="25">
        <f t="shared" si="56"/>
        <v>0</v>
      </c>
      <c r="AJ207" s="25">
        <f t="shared" si="57"/>
        <v>0</v>
      </c>
      <c r="AK207" s="25">
        <f t="shared" si="58"/>
        <v>0</v>
      </c>
      <c r="BA207" s="34">
        <f t="shared" si="59"/>
        <v>52232616.659179688</v>
      </c>
      <c r="BB207" s="34">
        <f t="shared" si="60"/>
        <v>5266901.8238525391</v>
      </c>
      <c r="BC207" s="34">
        <f t="shared" si="61"/>
        <v>1087042.1415996552</v>
      </c>
    </row>
    <row r="208" spans="2:55">
      <c r="B208" s="2" t="s">
        <v>66</v>
      </c>
      <c r="C208" s="2" t="s">
        <v>67</v>
      </c>
      <c r="D208" s="2" t="s">
        <v>81</v>
      </c>
      <c r="E208" s="2" t="s">
        <v>79</v>
      </c>
      <c r="F208" s="2" t="s">
        <v>68</v>
      </c>
      <c r="G208" s="28" t="s">
        <v>80</v>
      </c>
      <c r="H208" s="2" t="s">
        <v>117</v>
      </c>
      <c r="I208" s="2" t="s">
        <v>117</v>
      </c>
      <c r="J208" s="2" t="s">
        <v>117</v>
      </c>
      <c r="K208" s="2" t="s">
        <v>69</v>
      </c>
      <c r="L208" s="2" t="s">
        <v>97</v>
      </c>
      <c r="M208" s="2" t="s">
        <v>89</v>
      </c>
      <c r="N208" s="2" t="s">
        <v>119</v>
      </c>
      <c r="O208" s="2" t="s">
        <v>117</v>
      </c>
      <c r="P208" s="2" t="s">
        <v>111</v>
      </c>
      <c r="Q208" s="31" t="s">
        <v>132</v>
      </c>
      <c r="R208" s="2" t="s">
        <v>117</v>
      </c>
      <c r="S208" s="2" t="s">
        <v>120</v>
      </c>
      <c r="T208" s="20">
        <v>46174</v>
      </c>
      <c r="U208" s="32">
        <v>2</v>
      </c>
      <c r="V208" s="32">
        <v>1</v>
      </c>
      <c r="W208" s="22">
        <f t="shared" si="48"/>
        <v>1</v>
      </c>
      <c r="X208" s="22">
        <v>28907</v>
      </c>
      <c r="Y208" s="23">
        <f t="shared" si="49"/>
        <v>32699.309841659546</v>
      </c>
      <c r="Z208" s="24">
        <f t="shared" si="50"/>
        <v>1131.1900177001953</v>
      </c>
      <c r="AA208" s="30">
        <v>1009.5800170898438</v>
      </c>
      <c r="AB208" s="30">
        <v>36.860000610351563</v>
      </c>
      <c r="AC208" s="30">
        <v>84.75</v>
      </c>
      <c r="AD208" s="25">
        <f t="shared" si="51"/>
        <v>0</v>
      </c>
      <c r="AE208" s="26">
        <f t="shared" si="52"/>
        <v>0</v>
      </c>
      <c r="AF208" s="26">
        <f t="shared" si="53"/>
        <v>0</v>
      </c>
      <c r="AG208" s="26">
        <f t="shared" si="54"/>
        <v>0</v>
      </c>
      <c r="AH208" s="25">
        <f t="shared" si="55"/>
        <v>0</v>
      </c>
      <c r="AI208" s="25">
        <f t="shared" si="56"/>
        <v>0</v>
      </c>
      <c r="AJ208" s="25">
        <f t="shared" si="57"/>
        <v>0</v>
      </c>
      <c r="AK208" s="25">
        <f t="shared" si="58"/>
        <v>0</v>
      </c>
      <c r="BA208" s="34">
        <f t="shared" si="59"/>
        <v>29183929.554016113</v>
      </c>
      <c r="BB208" s="34">
        <f t="shared" si="60"/>
        <v>1065512.0376434326</v>
      </c>
      <c r="BC208" s="34">
        <f t="shared" si="61"/>
        <v>2449868.25</v>
      </c>
    </row>
    <row r="209" spans="2:55">
      <c r="B209" s="2" t="s">
        <v>66</v>
      </c>
      <c r="C209" s="2" t="s">
        <v>67</v>
      </c>
      <c r="D209" s="2" t="s">
        <v>81</v>
      </c>
      <c r="E209" s="2" t="s">
        <v>79</v>
      </c>
      <c r="F209" s="2" t="s">
        <v>68</v>
      </c>
      <c r="G209" s="28" t="s">
        <v>80</v>
      </c>
      <c r="H209" s="2" t="s">
        <v>117</v>
      </c>
      <c r="I209" s="2" t="s">
        <v>117</v>
      </c>
      <c r="J209" s="2" t="s">
        <v>117</v>
      </c>
      <c r="K209" s="2" t="s">
        <v>69</v>
      </c>
      <c r="L209" s="2" t="s">
        <v>97</v>
      </c>
      <c r="M209" s="2" t="s">
        <v>89</v>
      </c>
      <c r="N209" s="2" t="s">
        <v>119</v>
      </c>
      <c r="O209" s="2" t="s">
        <v>117</v>
      </c>
      <c r="P209" s="2" t="s">
        <v>111</v>
      </c>
      <c r="Q209" s="31" t="s">
        <v>133</v>
      </c>
      <c r="R209" s="2" t="s">
        <v>117</v>
      </c>
      <c r="S209" s="2" t="s">
        <v>120</v>
      </c>
      <c r="T209" s="20">
        <v>46174</v>
      </c>
      <c r="U209" s="32">
        <v>2</v>
      </c>
      <c r="V209" s="32">
        <v>1</v>
      </c>
      <c r="W209" s="22">
        <f t="shared" si="48"/>
        <v>1</v>
      </c>
      <c r="X209" s="22">
        <v>28312</v>
      </c>
      <c r="Y209" s="23">
        <f t="shared" si="49"/>
        <v>43792.436837463378</v>
      </c>
      <c r="Z209" s="24">
        <f t="shared" si="50"/>
        <v>1546.7800521850586</v>
      </c>
      <c r="AA209" s="30">
        <v>1243.800048828125</v>
      </c>
      <c r="AB209" s="30">
        <v>216.99000549316406</v>
      </c>
      <c r="AC209" s="30">
        <v>85.989997863769531</v>
      </c>
      <c r="AD209" s="25">
        <f t="shared" si="51"/>
        <v>0</v>
      </c>
      <c r="AE209" s="26">
        <f t="shared" si="52"/>
        <v>0</v>
      </c>
      <c r="AF209" s="26">
        <f t="shared" si="53"/>
        <v>0</v>
      </c>
      <c r="AG209" s="26">
        <f t="shared" si="54"/>
        <v>0</v>
      </c>
      <c r="AH209" s="25">
        <f t="shared" si="55"/>
        <v>0</v>
      </c>
      <c r="AI209" s="25">
        <f t="shared" si="56"/>
        <v>0</v>
      </c>
      <c r="AJ209" s="25">
        <f t="shared" si="57"/>
        <v>0</v>
      </c>
      <c r="AK209" s="25">
        <f t="shared" si="58"/>
        <v>0</v>
      </c>
      <c r="BA209" s="34">
        <f t="shared" si="59"/>
        <v>35214466.982421875</v>
      </c>
      <c r="BB209" s="34">
        <f t="shared" si="60"/>
        <v>6143421.0355224609</v>
      </c>
      <c r="BC209" s="34">
        <f t="shared" si="61"/>
        <v>2434548.819519043</v>
      </c>
    </row>
    <row r="210" spans="2:55">
      <c r="B210" s="2" t="s">
        <v>66</v>
      </c>
      <c r="C210" s="2" t="s">
        <v>67</v>
      </c>
      <c r="D210" s="2" t="s">
        <v>81</v>
      </c>
      <c r="E210" s="2" t="s">
        <v>79</v>
      </c>
      <c r="F210" s="2" t="s">
        <v>68</v>
      </c>
      <c r="G210" s="28" t="s">
        <v>80</v>
      </c>
      <c r="H210" s="2" t="s">
        <v>134</v>
      </c>
      <c r="I210" s="2" t="s">
        <v>117</v>
      </c>
      <c r="J210" s="2" t="s">
        <v>117</v>
      </c>
      <c r="K210" s="2" t="s">
        <v>69</v>
      </c>
      <c r="L210" s="2" t="s">
        <v>97</v>
      </c>
      <c r="M210" s="2" t="s">
        <v>89</v>
      </c>
      <c r="N210" s="2" t="s">
        <v>119</v>
      </c>
      <c r="O210" s="2" t="s">
        <v>117</v>
      </c>
      <c r="P210" s="2" t="s">
        <v>111</v>
      </c>
      <c r="Q210" s="31">
        <v>0</v>
      </c>
      <c r="R210" s="2" t="s">
        <v>117</v>
      </c>
      <c r="S210" s="2" t="s">
        <v>120</v>
      </c>
      <c r="T210" s="20">
        <v>46174</v>
      </c>
      <c r="U210" s="32">
        <v>2</v>
      </c>
      <c r="V210" s="32">
        <v>1</v>
      </c>
      <c r="W210" s="22">
        <f t="shared" si="48"/>
        <v>1</v>
      </c>
      <c r="X210" s="22">
        <v>16889</v>
      </c>
      <c r="Y210" s="23">
        <f t="shared" si="49"/>
        <v>19337.56703509617</v>
      </c>
      <c r="Z210" s="24">
        <f t="shared" si="50"/>
        <v>1144.9799890518188</v>
      </c>
      <c r="AA210" s="30">
        <v>850.8599853515625</v>
      </c>
      <c r="AB210" s="30">
        <v>292.91000366210938</v>
      </c>
      <c r="AC210" s="30">
        <v>1.2100000381469727</v>
      </c>
      <c r="AD210" s="25">
        <f t="shared" si="51"/>
        <v>0</v>
      </c>
      <c r="AE210" s="26">
        <f t="shared" si="52"/>
        <v>0</v>
      </c>
      <c r="AF210" s="26">
        <f t="shared" si="53"/>
        <v>0</v>
      </c>
      <c r="AG210" s="26">
        <f t="shared" si="54"/>
        <v>0</v>
      </c>
      <c r="AH210" s="25">
        <f t="shared" si="55"/>
        <v>0</v>
      </c>
      <c r="AI210" s="25">
        <f t="shared" si="56"/>
        <v>0</v>
      </c>
      <c r="AJ210" s="25">
        <f t="shared" si="57"/>
        <v>0</v>
      </c>
      <c r="AK210" s="25">
        <f t="shared" si="58"/>
        <v>0</v>
      </c>
      <c r="BA210" s="34">
        <f t="shared" si="59"/>
        <v>14370174.292602539</v>
      </c>
      <c r="BB210" s="34">
        <f t="shared" si="60"/>
        <v>4946957.0518493652</v>
      </c>
      <c r="BC210" s="34">
        <f t="shared" si="61"/>
        <v>20435.690644264221</v>
      </c>
    </row>
    <row r="211" spans="2:55">
      <c r="B211" s="2" t="s">
        <v>66</v>
      </c>
      <c r="C211" s="2" t="s">
        <v>67</v>
      </c>
      <c r="D211" s="2" t="s">
        <v>81</v>
      </c>
      <c r="E211" s="2" t="s">
        <v>79</v>
      </c>
      <c r="F211" s="2" t="s">
        <v>68</v>
      </c>
      <c r="G211" s="28" t="s">
        <v>80</v>
      </c>
      <c r="H211" s="2" t="s">
        <v>135</v>
      </c>
      <c r="I211" s="2" t="s">
        <v>117</v>
      </c>
      <c r="J211" s="2" t="s">
        <v>117</v>
      </c>
      <c r="K211" s="2" t="s">
        <v>69</v>
      </c>
      <c r="L211" s="2" t="s">
        <v>97</v>
      </c>
      <c r="M211" s="2" t="s">
        <v>89</v>
      </c>
      <c r="N211" s="2" t="s">
        <v>119</v>
      </c>
      <c r="O211" s="2" t="s">
        <v>117</v>
      </c>
      <c r="P211" s="2" t="s">
        <v>111</v>
      </c>
      <c r="Q211" s="31">
        <v>0</v>
      </c>
      <c r="R211" s="2" t="s">
        <v>117</v>
      </c>
      <c r="S211" s="2" t="s">
        <v>120</v>
      </c>
      <c r="T211" s="20">
        <v>46174</v>
      </c>
      <c r="U211" s="32">
        <v>2</v>
      </c>
      <c r="V211" s="32">
        <v>1</v>
      </c>
      <c r="W211" s="22">
        <f t="shared" si="48"/>
        <v>1</v>
      </c>
      <c r="X211" s="22">
        <v>19850</v>
      </c>
      <c r="Y211" s="23">
        <f t="shared" si="49"/>
        <v>28721.561092901229</v>
      </c>
      <c r="Z211" s="24">
        <f t="shared" si="50"/>
        <v>1446.9300298690796</v>
      </c>
      <c r="AA211" s="30">
        <v>1270.6600341796875</v>
      </c>
      <c r="AB211" s="30">
        <v>163.47999572753906</v>
      </c>
      <c r="AC211" s="30">
        <v>12.789999961853027</v>
      </c>
      <c r="AD211" s="25">
        <f t="shared" si="51"/>
        <v>0</v>
      </c>
      <c r="AE211" s="26">
        <f t="shared" si="52"/>
        <v>0</v>
      </c>
      <c r="AF211" s="26">
        <f t="shared" si="53"/>
        <v>0</v>
      </c>
      <c r="AG211" s="26">
        <f t="shared" si="54"/>
        <v>0</v>
      </c>
      <c r="AH211" s="25">
        <f t="shared" si="55"/>
        <v>0</v>
      </c>
      <c r="AI211" s="25">
        <f t="shared" si="56"/>
        <v>0</v>
      </c>
      <c r="AJ211" s="25">
        <f t="shared" si="57"/>
        <v>0</v>
      </c>
      <c r="AK211" s="25">
        <f t="shared" si="58"/>
        <v>0</v>
      </c>
      <c r="BA211" s="34">
        <f t="shared" si="59"/>
        <v>25222601.678466797</v>
      </c>
      <c r="BB211" s="34">
        <f t="shared" si="60"/>
        <v>3245077.9151916504</v>
      </c>
      <c r="BC211" s="34">
        <f t="shared" si="61"/>
        <v>253881.49924278259</v>
      </c>
    </row>
    <row r="212" spans="2:55">
      <c r="B212" s="2" t="s">
        <v>66</v>
      </c>
      <c r="C212" s="2" t="s">
        <v>67</v>
      </c>
      <c r="D212" s="2" t="s">
        <v>81</v>
      </c>
      <c r="E212" s="2" t="s">
        <v>79</v>
      </c>
      <c r="F212" s="2" t="s">
        <v>68</v>
      </c>
      <c r="G212" s="28" t="s">
        <v>80</v>
      </c>
      <c r="H212" s="2" t="s">
        <v>117</v>
      </c>
      <c r="I212" s="2" t="s">
        <v>117</v>
      </c>
      <c r="J212" s="2" t="s">
        <v>117</v>
      </c>
      <c r="K212" s="2" t="s">
        <v>69</v>
      </c>
      <c r="L212" s="2" t="s">
        <v>98</v>
      </c>
      <c r="M212" s="2" t="s">
        <v>85</v>
      </c>
      <c r="N212" s="2" t="s">
        <v>112</v>
      </c>
      <c r="O212" s="2" t="s">
        <v>117</v>
      </c>
      <c r="P212" s="2" t="s">
        <v>111</v>
      </c>
      <c r="Q212" s="31">
        <v>0</v>
      </c>
      <c r="R212" s="2" t="s">
        <v>117</v>
      </c>
      <c r="S212" s="2" t="s">
        <v>120</v>
      </c>
      <c r="T212" s="20">
        <v>46174</v>
      </c>
      <c r="U212" s="32">
        <v>2</v>
      </c>
      <c r="V212" s="32">
        <v>1</v>
      </c>
      <c r="W212" s="22">
        <f t="shared" si="48"/>
        <v>1</v>
      </c>
      <c r="X212" s="22">
        <v>41750</v>
      </c>
      <c r="Y212" s="23">
        <f t="shared" si="49"/>
        <v>44471.264614582062</v>
      </c>
      <c r="Z212" s="24">
        <f t="shared" si="50"/>
        <v>1065.1799907684326</v>
      </c>
      <c r="AA212" s="30">
        <v>934.489990234375</v>
      </c>
      <c r="AB212" s="30">
        <v>112.25</v>
      </c>
      <c r="AC212" s="30">
        <v>18.440000534057617</v>
      </c>
      <c r="AD212" s="25">
        <f t="shared" si="51"/>
        <v>0</v>
      </c>
      <c r="AE212" s="26">
        <f t="shared" si="52"/>
        <v>0</v>
      </c>
      <c r="AF212" s="26">
        <f t="shared" si="53"/>
        <v>0</v>
      </c>
      <c r="AG212" s="26">
        <f t="shared" si="54"/>
        <v>0</v>
      </c>
      <c r="AH212" s="25">
        <f t="shared" si="55"/>
        <v>0</v>
      </c>
      <c r="AI212" s="25">
        <f t="shared" si="56"/>
        <v>0</v>
      </c>
      <c r="AJ212" s="25">
        <f t="shared" si="57"/>
        <v>0</v>
      </c>
      <c r="AK212" s="25">
        <f t="shared" si="58"/>
        <v>0</v>
      </c>
      <c r="BA212" s="34">
        <f t="shared" si="59"/>
        <v>39014957.092285156</v>
      </c>
      <c r="BB212" s="34">
        <f t="shared" si="60"/>
        <v>4686437.5</v>
      </c>
      <c r="BC212" s="34">
        <f t="shared" si="61"/>
        <v>769870.02229690552</v>
      </c>
    </row>
    <row r="213" spans="2:55">
      <c r="B213" s="2" t="s">
        <v>66</v>
      </c>
      <c r="C213" s="2" t="s">
        <v>67</v>
      </c>
      <c r="D213" s="2" t="s">
        <v>81</v>
      </c>
      <c r="E213" s="2" t="s">
        <v>79</v>
      </c>
      <c r="F213" s="2" t="s">
        <v>68</v>
      </c>
      <c r="G213" s="28" t="s">
        <v>80</v>
      </c>
      <c r="H213" s="2" t="s">
        <v>117</v>
      </c>
      <c r="I213" s="2" t="s">
        <v>117</v>
      </c>
      <c r="J213" s="2" t="s">
        <v>136</v>
      </c>
      <c r="K213" s="2" t="s">
        <v>69</v>
      </c>
      <c r="L213" s="2" t="s">
        <v>98</v>
      </c>
      <c r="M213" s="2" t="s">
        <v>85</v>
      </c>
      <c r="N213" s="2" t="s">
        <v>112</v>
      </c>
      <c r="O213" s="2" t="s">
        <v>117</v>
      </c>
      <c r="P213" s="2" t="s">
        <v>111</v>
      </c>
      <c r="Q213" s="31">
        <v>0</v>
      </c>
      <c r="R213" s="2" t="s">
        <v>117</v>
      </c>
      <c r="S213" s="2" t="s">
        <v>120</v>
      </c>
      <c r="T213" s="20">
        <v>46174</v>
      </c>
      <c r="U213" s="32">
        <v>2</v>
      </c>
      <c r="V213" s="32">
        <v>1</v>
      </c>
      <c r="W213" s="22">
        <f t="shared" si="48"/>
        <v>1</v>
      </c>
      <c r="X213" s="22">
        <v>14148</v>
      </c>
      <c r="Y213" s="23">
        <f t="shared" si="49"/>
        <v>15791.856100570678</v>
      </c>
      <c r="Z213" s="24">
        <f t="shared" si="50"/>
        <v>1116.189998626709</v>
      </c>
      <c r="AA213" s="30">
        <v>977.55999755859375</v>
      </c>
      <c r="AB213" s="30">
        <v>80.860000610351563</v>
      </c>
      <c r="AC213" s="30">
        <v>57.770000457763672</v>
      </c>
      <c r="AD213" s="25">
        <f t="shared" si="51"/>
        <v>0</v>
      </c>
      <c r="AE213" s="26">
        <f t="shared" si="52"/>
        <v>0</v>
      </c>
      <c r="AF213" s="26">
        <f t="shared" si="53"/>
        <v>0</v>
      </c>
      <c r="AG213" s="26">
        <f t="shared" si="54"/>
        <v>0</v>
      </c>
      <c r="AH213" s="25">
        <f t="shared" si="55"/>
        <v>0</v>
      </c>
      <c r="AI213" s="25">
        <f t="shared" si="56"/>
        <v>0</v>
      </c>
      <c r="AJ213" s="25">
        <f t="shared" si="57"/>
        <v>0</v>
      </c>
      <c r="AK213" s="25">
        <f t="shared" si="58"/>
        <v>0</v>
      </c>
      <c r="BA213" s="34">
        <f t="shared" si="59"/>
        <v>13830518.845458984</v>
      </c>
      <c r="BB213" s="34">
        <f t="shared" si="60"/>
        <v>1144007.2886352539</v>
      </c>
      <c r="BC213" s="34">
        <f t="shared" si="61"/>
        <v>817329.96647644043</v>
      </c>
    </row>
    <row r="214" spans="2:55">
      <c r="B214" s="2" t="s">
        <v>66</v>
      </c>
      <c r="C214" s="2" t="s">
        <v>67</v>
      </c>
      <c r="D214" s="2" t="s">
        <v>81</v>
      </c>
      <c r="E214" s="2" t="s">
        <v>79</v>
      </c>
      <c r="F214" s="2" t="s">
        <v>68</v>
      </c>
      <c r="G214" s="28" t="s">
        <v>80</v>
      </c>
      <c r="H214" s="2" t="s">
        <v>117</v>
      </c>
      <c r="I214" s="2" t="s">
        <v>117</v>
      </c>
      <c r="J214" s="2" t="s">
        <v>117</v>
      </c>
      <c r="K214" s="2" t="s">
        <v>69</v>
      </c>
      <c r="L214" s="2" t="s">
        <v>98</v>
      </c>
      <c r="M214" s="2" t="s">
        <v>86</v>
      </c>
      <c r="N214" s="2" t="s">
        <v>113</v>
      </c>
      <c r="O214" s="2" t="s">
        <v>117</v>
      </c>
      <c r="P214" s="2" t="s">
        <v>111</v>
      </c>
      <c r="Q214" s="31">
        <v>0</v>
      </c>
      <c r="R214" s="2" t="s">
        <v>117</v>
      </c>
      <c r="S214" s="2" t="s">
        <v>120</v>
      </c>
      <c r="T214" s="20">
        <v>46174</v>
      </c>
      <c r="U214" s="32">
        <v>2</v>
      </c>
      <c r="V214" s="32">
        <v>1</v>
      </c>
      <c r="W214" s="22">
        <f t="shared" si="48"/>
        <v>1</v>
      </c>
      <c r="X214" s="22">
        <v>5760</v>
      </c>
      <c r="Y214" s="23">
        <f t="shared" si="49"/>
        <v>5949.0431542968754</v>
      </c>
      <c r="Z214" s="24">
        <f t="shared" si="50"/>
        <v>1032.8199920654297</v>
      </c>
      <c r="AA214" s="30">
        <v>751.489990234375</v>
      </c>
      <c r="AB214" s="30">
        <v>217.5</v>
      </c>
      <c r="AC214" s="30">
        <v>63.830001831054688</v>
      </c>
      <c r="AD214" s="25">
        <f t="shared" si="51"/>
        <v>0</v>
      </c>
      <c r="AE214" s="26">
        <f t="shared" si="52"/>
        <v>0</v>
      </c>
      <c r="AF214" s="26">
        <f t="shared" si="53"/>
        <v>0</v>
      </c>
      <c r="AG214" s="26">
        <f t="shared" si="54"/>
        <v>0</v>
      </c>
      <c r="AH214" s="25">
        <f t="shared" si="55"/>
        <v>0</v>
      </c>
      <c r="AI214" s="25">
        <f t="shared" si="56"/>
        <v>0</v>
      </c>
      <c r="AJ214" s="25">
        <f t="shared" si="57"/>
        <v>0</v>
      </c>
      <c r="AK214" s="25">
        <f t="shared" si="58"/>
        <v>0</v>
      </c>
      <c r="BA214" s="34">
        <f t="shared" si="59"/>
        <v>4328582.34375</v>
      </c>
      <c r="BB214" s="34">
        <f t="shared" si="60"/>
        <v>1252800</v>
      </c>
      <c r="BC214" s="34">
        <f t="shared" si="61"/>
        <v>367660.810546875</v>
      </c>
    </row>
    <row r="215" spans="2:55">
      <c r="B215" s="2" t="s">
        <v>66</v>
      </c>
      <c r="C215" s="2" t="s">
        <v>67</v>
      </c>
      <c r="D215" s="2" t="s">
        <v>81</v>
      </c>
      <c r="E215" s="2" t="s">
        <v>79</v>
      </c>
      <c r="F215" s="2" t="s">
        <v>68</v>
      </c>
      <c r="G215" s="28" t="s">
        <v>80</v>
      </c>
      <c r="H215" s="2" t="s">
        <v>137</v>
      </c>
      <c r="I215" s="2" t="s">
        <v>117</v>
      </c>
      <c r="J215" s="2" t="s">
        <v>117</v>
      </c>
      <c r="K215" s="2" t="s">
        <v>69</v>
      </c>
      <c r="L215" s="2" t="s">
        <v>98</v>
      </c>
      <c r="M215" s="2" t="s">
        <v>86</v>
      </c>
      <c r="N215" s="2" t="s">
        <v>113</v>
      </c>
      <c r="O215" s="2" t="s">
        <v>117</v>
      </c>
      <c r="P215" s="2" t="s">
        <v>111</v>
      </c>
      <c r="Q215" s="31">
        <v>0</v>
      </c>
      <c r="R215" s="2" t="s">
        <v>117</v>
      </c>
      <c r="S215" s="2" t="s">
        <v>120</v>
      </c>
      <c r="T215" s="20">
        <v>46174</v>
      </c>
      <c r="U215" s="32">
        <v>2</v>
      </c>
      <c r="V215" s="32">
        <v>1</v>
      </c>
      <c r="W215" s="22">
        <f t="shared" si="48"/>
        <v>1</v>
      </c>
      <c r="X215" s="22">
        <v>45117</v>
      </c>
      <c r="Y215" s="23">
        <f t="shared" si="49"/>
        <v>35047.789221072882</v>
      </c>
      <c r="Z215" s="24">
        <f t="shared" si="50"/>
        <v>776.82002839446068</v>
      </c>
      <c r="AA215" s="30">
        <v>736.780029296875</v>
      </c>
      <c r="AB215" s="30">
        <v>0.33000001311302185</v>
      </c>
      <c r="AC215" s="30">
        <v>39.709999084472656</v>
      </c>
      <c r="AD215" s="25">
        <f t="shared" si="51"/>
        <v>0</v>
      </c>
      <c r="AE215" s="26">
        <f t="shared" si="52"/>
        <v>0</v>
      </c>
      <c r="AF215" s="26">
        <f t="shared" si="53"/>
        <v>0</v>
      </c>
      <c r="AG215" s="26">
        <f t="shared" si="54"/>
        <v>0</v>
      </c>
      <c r="AH215" s="25">
        <f t="shared" si="55"/>
        <v>0</v>
      </c>
      <c r="AI215" s="25">
        <f t="shared" si="56"/>
        <v>0</v>
      </c>
      <c r="AJ215" s="25">
        <f t="shared" si="57"/>
        <v>0</v>
      </c>
      <c r="AK215" s="25">
        <f t="shared" si="58"/>
        <v>0</v>
      </c>
      <c r="BA215" s="34">
        <f t="shared" si="59"/>
        <v>33241304.581787109</v>
      </c>
      <c r="BB215" s="34">
        <f t="shared" si="60"/>
        <v>14888.610591620207</v>
      </c>
      <c r="BC215" s="34">
        <f t="shared" si="61"/>
        <v>1791596.0286941528</v>
      </c>
    </row>
    <row r="216" spans="2:55">
      <c r="B216" s="2" t="s">
        <v>66</v>
      </c>
      <c r="C216" s="2" t="s">
        <v>67</v>
      </c>
      <c r="D216" s="2" t="s">
        <v>81</v>
      </c>
      <c r="E216" s="2" t="s">
        <v>79</v>
      </c>
      <c r="F216" s="2" t="s">
        <v>68</v>
      </c>
      <c r="G216" s="28" t="s">
        <v>80</v>
      </c>
      <c r="H216" s="2" t="s">
        <v>117</v>
      </c>
      <c r="I216" s="2" t="s">
        <v>117</v>
      </c>
      <c r="J216" s="2" t="s">
        <v>117</v>
      </c>
      <c r="K216" s="2" t="s">
        <v>69</v>
      </c>
      <c r="L216" s="2" t="s">
        <v>98</v>
      </c>
      <c r="M216" s="2" t="s">
        <v>86</v>
      </c>
      <c r="N216" s="2" t="s">
        <v>114</v>
      </c>
      <c r="O216" s="2" t="s">
        <v>117</v>
      </c>
      <c r="P216" s="2" t="s">
        <v>111</v>
      </c>
      <c r="Q216" s="31">
        <v>0</v>
      </c>
      <c r="R216" s="2" t="s">
        <v>117</v>
      </c>
      <c r="S216" s="2" t="s">
        <v>120</v>
      </c>
      <c r="T216" s="20">
        <v>46174</v>
      </c>
      <c r="U216" s="32">
        <v>2</v>
      </c>
      <c r="V216" s="32">
        <v>1</v>
      </c>
      <c r="W216" s="22">
        <f t="shared" si="48"/>
        <v>1</v>
      </c>
      <c r="X216" s="22">
        <v>5720</v>
      </c>
      <c r="Y216" s="23">
        <f t="shared" si="49"/>
        <v>6013.9507092285157</v>
      </c>
      <c r="Z216" s="24">
        <f t="shared" si="50"/>
        <v>1051.3899841308594</v>
      </c>
      <c r="AA216" s="30">
        <v>855.3599853515625</v>
      </c>
      <c r="AB216" s="30">
        <v>135.94999694824219</v>
      </c>
      <c r="AC216" s="30">
        <v>60.080001831054688</v>
      </c>
      <c r="AD216" s="25">
        <f t="shared" si="51"/>
        <v>0</v>
      </c>
      <c r="AE216" s="26">
        <f t="shared" si="52"/>
        <v>0</v>
      </c>
      <c r="AF216" s="26">
        <f t="shared" si="53"/>
        <v>0</v>
      </c>
      <c r="AG216" s="26">
        <f t="shared" si="54"/>
        <v>0</v>
      </c>
      <c r="AH216" s="25">
        <f t="shared" si="55"/>
        <v>0</v>
      </c>
      <c r="AI216" s="25">
        <f t="shared" si="56"/>
        <v>0</v>
      </c>
      <c r="AJ216" s="25">
        <f t="shared" si="57"/>
        <v>0</v>
      </c>
      <c r="AK216" s="25">
        <f t="shared" si="58"/>
        <v>0</v>
      </c>
      <c r="BA216" s="34">
        <f t="shared" si="59"/>
        <v>4892659.1162109375</v>
      </c>
      <c r="BB216" s="34">
        <f t="shared" si="60"/>
        <v>777633.98254394531</v>
      </c>
      <c r="BC216" s="34">
        <f t="shared" si="61"/>
        <v>343657.61047363281</v>
      </c>
    </row>
    <row r="217" spans="2:55">
      <c r="B217" s="2" t="s">
        <v>66</v>
      </c>
      <c r="C217" s="2" t="s">
        <v>67</v>
      </c>
      <c r="D217" s="2" t="s">
        <v>81</v>
      </c>
      <c r="E217" s="2" t="s">
        <v>79</v>
      </c>
      <c r="F217" s="2" t="s">
        <v>68</v>
      </c>
      <c r="G217" s="28" t="s">
        <v>80</v>
      </c>
      <c r="H217" s="2" t="s">
        <v>117</v>
      </c>
      <c r="I217" s="2" t="s">
        <v>117</v>
      </c>
      <c r="J217" s="2" t="s">
        <v>117</v>
      </c>
      <c r="K217" s="2" t="s">
        <v>69</v>
      </c>
      <c r="L217" s="2" t="s">
        <v>98</v>
      </c>
      <c r="M217" s="2" t="s">
        <v>86</v>
      </c>
      <c r="N217" s="2" t="s">
        <v>138</v>
      </c>
      <c r="O217" s="2" t="s">
        <v>117</v>
      </c>
      <c r="P217" s="2" t="s">
        <v>111</v>
      </c>
      <c r="Q217" s="31">
        <v>0</v>
      </c>
      <c r="R217" s="2" t="s">
        <v>117</v>
      </c>
      <c r="S217" s="2" t="s">
        <v>120</v>
      </c>
      <c r="T217" s="20">
        <v>46174</v>
      </c>
      <c r="U217" s="32">
        <v>2</v>
      </c>
      <c r="V217" s="32">
        <v>1</v>
      </c>
      <c r="W217" s="22">
        <f t="shared" si="48"/>
        <v>1</v>
      </c>
      <c r="X217" s="22">
        <v>3698</v>
      </c>
      <c r="Y217" s="23">
        <f t="shared" si="49"/>
        <v>5597.2560321655274</v>
      </c>
      <c r="Z217" s="24">
        <f t="shared" si="50"/>
        <v>1513.5900573730469</v>
      </c>
      <c r="AA217" s="30">
        <v>1383.06005859375</v>
      </c>
      <c r="AB217" s="30">
        <v>32.790000915527344</v>
      </c>
      <c r="AC217" s="30">
        <v>97.739997863769531</v>
      </c>
      <c r="AD217" s="25">
        <f t="shared" si="51"/>
        <v>0</v>
      </c>
      <c r="AE217" s="26">
        <f t="shared" si="52"/>
        <v>0</v>
      </c>
      <c r="AF217" s="26">
        <f t="shared" si="53"/>
        <v>0</v>
      </c>
      <c r="AG217" s="26">
        <f t="shared" si="54"/>
        <v>0</v>
      </c>
      <c r="AH217" s="25">
        <f t="shared" si="55"/>
        <v>0</v>
      </c>
      <c r="AI217" s="25">
        <f t="shared" si="56"/>
        <v>0</v>
      </c>
      <c r="AJ217" s="25">
        <f t="shared" si="57"/>
        <v>0</v>
      </c>
      <c r="AK217" s="25">
        <f t="shared" si="58"/>
        <v>0</v>
      </c>
      <c r="BA217" s="34">
        <f t="shared" si="59"/>
        <v>5114556.0966796875</v>
      </c>
      <c r="BB217" s="34">
        <f t="shared" si="60"/>
        <v>121257.42338562012</v>
      </c>
      <c r="BC217" s="34">
        <f t="shared" si="61"/>
        <v>361442.51210021973</v>
      </c>
    </row>
    <row r="218" spans="2:55">
      <c r="B218" s="2" t="s">
        <v>66</v>
      </c>
      <c r="C218" s="2" t="s">
        <v>67</v>
      </c>
      <c r="D218" s="2" t="s">
        <v>81</v>
      </c>
      <c r="E218" s="33" t="s">
        <v>79</v>
      </c>
      <c r="F218" s="2" t="s">
        <v>68</v>
      </c>
      <c r="G218" s="2" t="s">
        <v>80</v>
      </c>
      <c r="H218" s="2" t="s">
        <v>117</v>
      </c>
      <c r="I218" s="2" t="s">
        <v>117</v>
      </c>
      <c r="J218" s="2" t="s">
        <v>117</v>
      </c>
      <c r="K218" s="2" t="s">
        <v>69</v>
      </c>
      <c r="L218" s="2" t="s">
        <v>98</v>
      </c>
      <c r="M218" s="2" t="s">
        <v>87</v>
      </c>
      <c r="N218" s="2" t="s">
        <v>115</v>
      </c>
      <c r="O218" s="2" t="s">
        <v>117</v>
      </c>
      <c r="P218" s="2" t="s">
        <v>110</v>
      </c>
      <c r="Q218" s="31">
        <v>0</v>
      </c>
      <c r="R218" s="2" t="s">
        <v>117</v>
      </c>
      <c r="S218" s="2" t="s">
        <v>120</v>
      </c>
      <c r="T218" s="20">
        <v>46174</v>
      </c>
      <c r="U218" s="32">
        <v>2</v>
      </c>
      <c r="V218" s="32">
        <v>1</v>
      </c>
      <c r="W218" s="22">
        <f t="shared" si="48"/>
        <v>1</v>
      </c>
      <c r="X218" s="22">
        <v>7963</v>
      </c>
      <c r="Y218" s="23">
        <f t="shared" si="49"/>
        <v>8654.9846513977045</v>
      </c>
      <c r="Z218" s="24">
        <f t="shared" si="50"/>
        <v>1086.8999938964844</v>
      </c>
      <c r="AA218" s="30">
        <v>862.1199951171875</v>
      </c>
      <c r="AB218" s="30">
        <v>149.58000183105469</v>
      </c>
      <c r="AC218" s="30">
        <v>75.199996948242188</v>
      </c>
      <c r="AD218" s="25">
        <f t="shared" si="51"/>
        <v>0</v>
      </c>
      <c r="AE218" s="26">
        <f t="shared" si="52"/>
        <v>0</v>
      </c>
      <c r="AF218" s="26">
        <f t="shared" si="53"/>
        <v>0</v>
      </c>
      <c r="AG218" s="26">
        <f t="shared" si="54"/>
        <v>0</v>
      </c>
      <c r="AH218" s="25">
        <f t="shared" si="55"/>
        <v>0</v>
      </c>
      <c r="AI218" s="25">
        <f t="shared" si="56"/>
        <v>0</v>
      </c>
      <c r="AJ218" s="25">
        <f t="shared" si="57"/>
        <v>0</v>
      </c>
      <c r="AK218" s="25">
        <f t="shared" si="58"/>
        <v>0</v>
      </c>
      <c r="BA218" s="34">
        <f t="shared" si="59"/>
        <v>6865061.5211181641</v>
      </c>
      <c r="BB218" s="34">
        <f t="shared" si="60"/>
        <v>1191105.5545806885</v>
      </c>
      <c r="BC218" s="34">
        <f t="shared" si="61"/>
        <v>598817.57569885254</v>
      </c>
    </row>
    <row r="219" spans="2:55">
      <c r="B219" s="2" t="s">
        <v>66</v>
      </c>
      <c r="C219" s="2" t="s">
        <v>67</v>
      </c>
      <c r="D219" s="2" t="s">
        <v>81</v>
      </c>
      <c r="E219" s="33" t="s">
        <v>79</v>
      </c>
      <c r="F219" s="2" t="s">
        <v>68</v>
      </c>
      <c r="G219" s="2" t="s">
        <v>80</v>
      </c>
      <c r="H219" s="2" t="s">
        <v>117</v>
      </c>
      <c r="I219" s="2" t="s">
        <v>117</v>
      </c>
      <c r="J219" s="2" t="s">
        <v>117</v>
      </c>
      <c r="K219" s="2" t="s">
        <v>82</v>
      </c>
      <c r="L219" s="2" t="s">
        <v>99</v>
      </c>
      <c r="M219" s="2" t="s">
        <v>92</v>
      </c>
      <c r="N219" s="2" t="s">
        <v>115</v>
      </c>
      <c r="O219" s="2" t="s">
        <v>117</v>
      </c>
      <c r="P219" s="2" t="s">
        <v>110</v>
      </c>
      <c r="Q219" s="31">
        <v>0</v>
      </c>
      <c r="R219" s="2" t="s">
        <v>117</v>
      </c>
      <c r="S219" s="2" t="s">
        <v>107</v>
      </c>
      <c r="T219" s="20">
        <v>46174</v>
      </c>
      <c r="U219" s="32">
        <v>2</v>
      </c>
      <c r="V219" s="32">
        <v>1</v>
      </c>
      <c r="W219" s="22">
        <f t="shared" si="48"/>
        <v>1300</v>
      </c>
      <c r="X219" s="22">
        <v>12867</v>
      </c>
      <c r="Y219" s="23">
        <f t="shared" si="49"/>
        <v>21536.141986255647</v>
      </c>
      <c r="Z219" s="24">
        <f t="shared" si="50"/>
        <v>1673.750057220459</v>
      </c>
      <c r="AA219" s="30">
        <v>1413.6800537109375</v>
      </c>
      <c r="AB219" s="30">
        <v>218.80000305175781</v>
      </c>
      <c r="AC219" s="30">
        <v>41.270000457763672</v>
      </c>
      <c r="AD219" s="25">
        <f t="shared" si="51"/>
        <v>1287.5000440157376</v>
      </c>
      <c r="AE219" s="26">
        <f t="shared" si="52"/>
        <v>1255.7538898174578</v>
      </c>
      <c r="AF219" s="26">
        <f t="shared" si="53"/>
        <v>31.746154198279747</v>
      </c>
      <c r="AG219" s="26">
        <f t="shared" si="54"/>
        <v>0</v>
      </c>
      <c r="AH219" s="25">
        <f t="shared" si="55"/>
        <v>16.566263066350494</v>
      </c>
      <c r="AI219" s="25">
        <f t="shared" si="56"/>
        <v>16.15778530028123</v>
      </c>
      <c r="AJ219" s="25">
        <f t="shared" si="57"/>
        <v>0.4084777660692655</v>
      </c>
      <c r="AK219" s="25">
        <f t="shared" si="58"/>
        <v>0</v>
      </c>
      <c r="BA219" s="34">
        <f t="shared" si="59"/>
        <v>18189821.251098633</v>
      </c>
      <c r="BB219" s="34">
        <f t="shared" si="60"/>
        <v>2815299.6392669678</v>
      </c>
      <c r="BC219" s="34">
        <f t="shared" si="61"/>
        <v>531021.09589004517</v>
      </c>
    </row>
    <row r="220" spans="2:55">
      <c r="B220" s="2" t="s">
        <v>66</v>
      </c>
      <c r="C220" s="2" t="s">
        <v>67</v>
      </c>
      <c r="D220" s="2" t="s">
        <v>81</v>
      </c>
      <c r="E220" s="2" t="s">
        <v>79</v>
      </c>
      <c r="F220" s="2" t="s">
        <v>68</v>
      </c>
      <c r="G220" s="2" t="s">
        <v>80</v>
      </c>
      <c r="H220" s="2" t="s">
        <v>117</v>
      </c>
      <c r="I220" s="2" t="s">
        <v>117</v>
      </c>
      <c r="J220" s="2" t="s">
        <v>117</v>
      </c>
      <c r="K220" s="2" t="s">
        <v>82</v>
      </c>
      <c r="L220" s="2" t="s">
        <v>99</v>
      </c>
      <c r="M220" s="2" t="s">
        <v>90</v>
      </c>
      <c r="N220" s="2" t="s">
        <v>115</v>
      </c>
      <c r="O220" s="2" t="s">
        <v>117</v>
      </c>
      <c r="P220" s="2" t="s">
        <v>111</v>
      </c>
      <c r="Q220" s="31">
        <v>0</v>
      </c>
      <c r="R220" s="2" t="s">
        <v>117</v>
      </c>
      <c r="S220" s="2" t="s">
        <v>101</v>
      </c>
      <c r="T220" s="20">
        <v>46174</v>
      </c>
      <c r="U220" s="32">
        <v>2</v>
      </c>
      <c r="V220" s="32">
        <v>1</v>
      </c>
      <c r="W220" s="22">
        <f t="shared" si="48"/>
        <v>1300</v>
      </c>
      <c r="X220" s="22">
        <v>23355</v>
      </c>
      <c r="Y220" s="23">
        <f t="shared" si="49"/>
        <v>41289.30560474396</v>
      </c>
      <c r="Z220" s="24">
        <f t="shared" si="50"/>
        <v>1767.9000473022461</v>
      </c>
      <c r="AA220" s="30">
        <v>1450.2900390625</v>
      </c>
      <c r="AB220" s="30">
        <v>245.07000732421875</v>
      </c>
      <c r="AC220" s="30">
        <v>72.540000915527344</v>
      </c>
      <c r="AD220" s="25">
        <f t="shared" si="51"/>
        <v>1359.9231133094202</v>
      </c>
      <c r="AE220" s="26">
        <f t="shared" si="52"/>
        <v>869.41540840344555</v>
      </c>
      <c r="AF220" s="26">
        <f t="shared" si="53"/>
        <v>55.800000704251808</v>
      </c>
      <c r="AG220" s="26">
        <f t="shared" si="54"/>
        <v>434.70770420172278</v>
      </c>
      <c r="AH220" s="25">
        <f t="shared" si="55"/>
        <v>31.761004311341509</v>
      </c>
      <c r="AI220" s="25">
        <f t="shared" si="56"/>
        <v>20.30519686326247</v>
      </c>
      <c r="AJ220" s="25">
        <f t="shared" si="57"/>
        <v>1.303209016447801</v>
      </c>
      <c r="AK220" s="25">
        <f t="shared" si="58"/>
        <v>10.152598431631235</v>
      </c>
      <c r="BA220" s="34">
        <f t="shared" si="59"/>
        <v>33871523.862304688</v>
      </c>
      <c r="BB220" s="34">
        <f t="shared" si="60"/>
        <v>5723610.0210571289</v>
      </c>
      <c r="BC220" s="34">
        <f t="shared" si="61"/>
        <v>1694171.7213821411</v>
      </c>
    </row>
    <row r="221" spans="2:55">
      <c r="B221" s="2" t="s">
        <v>66</v>
      </c>
      <c r="C221" s="2" t="s">
        <v>67</v>
      </c>
      <c r="D221" s="2" t="s">
        <v>81</v>
      </c>
      <c r="E221" s="2" t="s">
        <v>79</v>
      </c>
      <c r="F221" s="2" t="s">
        <v>68</v>
      </c>
      <c r="G221" s="2" t="s">
        <v>80</v>
      </c>
      <c r="H221" s="2" t="s">
        <v>117</v>
      </c>
      <c r="I221" s="2" t="s">
        <v>117</v>
      </c>
      <c r="J221" s="2" t="s">
        <v>117</v>
      </c>
      <c r="K221" s="2" t="s">
        <v>82</v>
      </c>
      <c r="L221" s="2" t="s">
        <v>99</v>
      </c>
      <c r="M221" s="2" t="s">
        <v>90</v>
      </c>
      <c r="N221" s="2" t="s">
        <v>115</v>
      </c>
      <c r="O221" s="2" t="s">
        <v>117</v>
      </c>
      <c r="P221" s="2" t="s">
        <v>111</v>
      </c>
      <c r="Q221" s="31">
        <v>0</v>
      </c>
      <c r="R221" s="2" t="s">
        <v>117</v>
      </c>
      <c r="S221" s="2" t="s">
        <v>102</v>
      </c>
      <c r="T221" s="20">
        <v>46174</v>
      </c>
      <c r="U221" s="32">
        <v>2</v>
      </c>
      <c r="V221" s="32">
        <v>1</v>
      </c>
      <c r="W221" s="22">
        <f t="shared" si="48"/>
        <v>1300</v>
      </c>
      <c r="X221" s="22">
        <v>2626</v>
      </c>
      <c r="Y221" s="23">
        <f t="shared" si="49"/>
        <v>3852.552162540987</v>
      </c>
      <c r="Z221" s="24">
        <f t="shared" si="50"/>
        <v>1467.0800314322114</v>
      </c>
      <c r="AA221" s="30">
        <v>1388.4100341796875</v>
      </c>
      <c r="AB221" s="30">
        <v>78.629997253417969</v>
      </c>
      <c r="AC221" s="30">
        <v>3.9999999105930328E-2</v>
      </c>
      <c r="AD221" s="25">
        <f t="shared" si="51"/>
        <v>1128.5231011017011</v>
      </c>
      <c r="AE221" s="26">
        <f t="shared" si="52"/>
        <v>1128.4923318716196</v>
      </c>
      <c r="AF221" s="26">
        <f t="shared" si="53"/>
        <v>3.0769230081484866E-2</v>
      </c>
      <c r="AG221" s="26">
        <f t="shared" si="54"/>
        <v>0</v>
      </c>
      <c r="AH221" s="25">
        <f t="shared" si="55"/>
        <v>2.9635016634930671</v>
      </c>
      <c r="AI221" s="25">
        <f t="shared" si="56"/>
        <v>2.9634208634948731</v>
      </c>
      <c r="AJ221" s="25">
        <f t="shared" si="57"/>
        <v>8.0799998193979266E-5</v>
      </c>
      <c r="AK221" s="25">
        <f t="shared" si="58"/>
        <v>0</v>
      </c>
      <c r="BA221" s="34">
        <f t="shared" si="59"/>
        <v>3645964.7497558594</v>
      </c>
      <c r="BB221" s="34">
        <f t="shared" si="60"/>
        <v>206482.37278747559</v>
      </c>
      <c r="BC221" s="34">
        <f t="shared" si="61"/>
        <v>105.03999765217304</v>
      </c>
    </row>
    <row r="222" spans="2:55">
      <c r="B222" s="2" t="s">
        <v>66</v>
      </c>
      <c r="C222" s="2" t="s">
        <v>67</v>
      </c>
      <c r="D222" s="2" t="s">
        <v>81</v>
      </c>
      <c r="E222" s="2" t="s">
        <v>79</v>
      </c>
      <c r="F222" s="2" t="s">
        <v>68</v>
      </c>
      <c r="G222" s="2" t="s">
        <v>80</v>
      </c>
      <c r="H222" s="2" t="s">
        <v>117</v>
      </c>
      <c r="I222" s="2" t="s">
        <v>117</v>
      </c>
      <c r="J222" s="2" t="s">
        <v>117</v>
      </c>
      <c r="K222" s="2" t="s">
        <v>82</v>
      </c>
      <c r="L222" s="2" t="s">
        <v>99</v>
      </c>
      <c r="M222" s="2" t="s">
        <v>90</v>
      </c>
      <c r="N222" s="2" t="s">
        <v>115</v>
      </c>
      <c r="O222" s="2" t="s">
        <v>117</v>
      </c>
      <c r="P222" s="2" t="s">
        <v>111</v>
      </c>
      <c r="Q222" s="31">
        <v>0</v>
      </c>
      <c r="R222" s="2" t="s">
        <v>117</v>
      </c>
      <c r="S222" s="2" t="s">
        <v>139</v>
      </c>
      <c r="T222" s="20">
        <v>46174</v>
      </c>
      <c r="U222" s="32">
        <v>2</v>
      </c>
      <c r="V222" s="32">
        <v>1</v>
      </c>
      <c r="W222" s="22">
        <f t="shared" si="48"/>
        <v>1300</v>
      </c>
      <c r="X222" s="22">
        <v>32289</v>
      </c>
      <c r="Y222" s="23">
        <f t="shared" si="49"/>
        <v>35045.835593524935</v>
      </c>
      <c r="Z222" s="24">
        <f t="shared" si="50"/>
        <v>1085.3800239562988</v>
      </c>
      <c r="AA222" s="30">
        <v>760.8900146484375</v>
      </c>
      <c r="AB222" s="30">
        <v>263.760009765625</v>
      </c>
      <c r="AC222" s="30">
        <v>60.729999542236328</v>
      </c>
      <c r="AD222" s="25">
        <f t="shared" si="51"/>
        <v>834.9077107356145</v>
      </c>
      <c r="AE222" s="26">
        <f t="shared" si="52"/>
        <v>788.19232647235583</v>
      </c>
      <c r="AF222" s="26">
        <f t="shared" si="53"/>
        <v>46.715384263258713</v>
      </c>
      <c r="AG222" s="26">
        <f t="shared" si="54"/>
        <v>0</v>
      </c>
      <c r="AH222" s="25">
        <f t="shared" si="55"/>
        <v>26.958335071942255</v>
      </c>
      <c r="AI222" s="25">
        <f t="shared" si="56"/>
        <v>25.449942029465898</v>
      </c>
      <c r="AJ222" s="25">
        <f t="shared" si="57"/>
        <v>1.5083930424763607</v>
      </c>
      <c r="AK222" s="25">
        <f t="shared" si="58"/>
        <v>0</v>
      </c>
      <c r="BA222" s="34">
        <f t="shared" si="59"/>
        <v>24568377.682983398</v>
      </c>
      <c r="BB222" s="34">
        <f t="shared" si="60"/>
        <v>8516546.9553222656</v>
      </c>
      <c r="BC222" s="34">
        <f t="shared" si="61"/>
        <v>1960910.9552192688</v>
      </c>
    </row>
    <row r="223" spans="2:55">
      <c r="B223" s="2" t="s">
        <v>66</v>
      </c>
      <c r="C223" s="2" t="s">
        <v>67</v>
      </c>
      <c r="D223" s="2" t="s">
        <v>81</v>
      </c>
      <c r="E223" s="2" t="s">
        <v>79</v>
      </c>
      <c r="F223" s="2" t="s">
        <v>68</v>
      </c>
      <c r="G223" s="2" t="s">
        <v>80</v>
      </c>
      <c r="H223" s="2" t="s">
        <v>117</v>
      </c>
      <c r="I223" s="2" t="s">
        <v>117</v>
      </c>
      <c r="J223" s="2" t="s">
        <v>117</v>
      </c>
      <c r="K223" s="2" t="s">
        <v>82</v>
      </c>
      <c r="L223" s="2" t="s">
        <v>99</v>
      </c>
      <c r="M223" s="2" t="s">
        <v>90</v>
      </c>
      <c r="N223" s="2" t="s">
        <v>115</v>
      </c>
      <c r="O223" s="2" t="s">
        <v>117</v>
      </c>
      <c r="P223" s="2" t="s">
        <v>111</v>
      </c>
      <c r="Q223" s="31">
        <v>0</v>
      </c>
      <c r="R223" s="2" t="s">
        <v>117</v>
      </c>
      <c r="S223" s="2" t="s">
        <v>106</v>
      </c>
      <c r="T223" s="20">
        <v>46174</v>
      </c>
      <c r="U223" s="32">
        <v>2</v>
      </c>
      <c r="V223" s="32">
        <v>1</v>
      </c>
      <c r="W223" s="22">
        <f t="shared" si="48"/>
        <v>1300</v>
      </c>
      <c r="X223" s="22">
        <v>35014</v>
      </c>
      <c r="Y223" s="23">
        <f t="shared" si="49"/>
        <v>51324.571951248166</v>
      </c>
      <c r="Z223" s="24">
        <f t="shared" si="50"/>
        <v>1465.8300094604492</v>
      </c>
      <c r="AA223" s="30">
        <v>1129.5</v>
      </c>
      <c r="AB223" s="30">
        <v>262.23001098632813</v>
      </c>
      <c r="AC223" s="30">
        <v>74.099998474121094</v>
      </c>
      <c r="AD223" s="25">
        <f t="shared" si="51"/>
        <v>1127.5615457388071</v>
      </c>
      <c r="AE223" s="26">
        <f t="shared" si="52"/>
        <v>1070.5615469125601</v>
      </c>
      <c r="AF223" s="26">
        <f t="shared" si="53"/>
        <v>56.999998826246994</v>
      </c>
      <c r="AG223" s="26">
        <f t="shared" si="54"/>
        <v>0</v>
      </c>
      <c r="AH223" s="25">
        <f t="shared" si="55"/>
        <v>39.480439962498593</v>
      </c>
      <c r="AI223" s="25">
        <f t="shared" si="56"/>
        <v>37.484642003596377</v>
      </c>
      <c r="AJ223" s="25">
        <f t="shared" si="57"/>
        <v>1.9957979589022123</v>
      </c>
      <c r="AK223" s="25">
        <f t="shared" si="58"/>
        <v>0</v>
      </c>
      <c r="BA223" s="34">
        <f t="shared" si="59"/>
        <v>39548313</v>
      </c>
      <c r="BB223" s="34">
        <f t="shared" si="60"/>
        <v>9181721.604675293</v>
      </c>
      <c r="BC223" s="34">
        <f t="shared" si="61"/>
        <v>2594537.346572876</v>
      </c>
    </row>
    <row r="224" spans="2:55">
      <c r="B224" s="2" t="s">
        <v>66</v>
      </c>
      <c r="C224" s="2" t="s">
        <v>67</v>
      </c>
      <c r="D224" s="2" t="s">
        <v>81</v>
      </c>
      <c r="E224" s="2" t="s">
        <v>79</v>
      </c>
      <c r="F224" s="2" t="s">
        <v>68</v>
      </c>
      <c r="G224" s="2" t="s">
        <v>80</v>
      </c>
      <c r="H224" s="2" t="s">
        <v>117</v>
      </c>
      <c r="I224" s="2" t="s">
        <v>117</v>
      </c>
      <c r="J224" s="2" t="s">
        <v>117</v>
      </c>
      <c r="K224" s="2" t="s">
        <v>82</v>
      </c>
      <c r="L224" s="2" t="s">
        <v>99</v>
      </c>
      <c r="M224" s="2" t="s">
        <v>90</v>
      </c>
      <c r="N224" s="2" t="s">
        <v>115</v>
      </c>
      <c r="O224" s="2" t="s">
        <v>117</v>
      </c>
      <c r="P224" s="2" t="s">
        <v>111</v>
      </c>
      <c r="Q224" s="31">
        <v>0</v>
      </c>
      <c r="R224" s="2" t="s">
        <v>117</v>
      </c>
      <c r="S224" s="2" t="s">
        <v>105</v>
      </c>
      <c r="T224" s="20">
        <v>46174</v>
      </c>
      <c r="U224" s="32">
        <v>2</v>
      </c>
      <c r="V224" s="32">
        <v>1</v>
      </c>
      <c r="W224" s="22">
        <f t="shared" si="48"/>
        <v>1300</v>
      </c>
      <c r="X224" s="22">
        <v>9694</v>
      </c>
      <c r="Y224" s="23">
        <f t="shared" si="49"/>
        <v>12532.985252693175</v>
      </c>
      <c r="Z224" s="24">
        <f t="shared" si="50"/>
        <v>1292.8600425720215</v>
      </c>
      <c r="AA224" s="30">
        <v>1197.4200439453125</v>
      </c>
      <c r="AB224" s="30">
        <v>51.709999084472656</v>
      </c>
      <c r="AC224" s="30">
        <v>43.729999542236328</v>
      </c>
      <c r="AD224" s="25">
        <f t="shared" si="51"/>
        <v>994.50772505540112</v>
      </c>
      <c r="AE224" s="26">
        <f t="shared" si="52"/>
        <v>960.86926386906543</v>
      </c>
      <c r="AF224" s="26">
        <f t="shared" si="53"/>
        <v>33.638461186335633</v>
      </c>
      <c r="AG224" s="26">
        <f t="shared" si="54"/>
        <v>0</v>
      </c>
      <c r="AH224" s="25">
        <f t="shared" si="55"/>
        <v>9.6407578866870587</v>
      </c>
      <c r="AI224" s="25">
        <f t="shared" si="56"/>
        <v>9.3146666439467207</v>
      </c>
      <c r="AJ224" s="25">
        <f t="shared" si="57"/>
        <v>0.32609124274033763</v>
      </c>
      <c r="AK224" s="25">
        <f t="shared" si="58"/>
        <v>0</v>
      </c>
      <c r="BA224" s="34">
        <f t="shared" si="59"/>
        <v>11607789.906005859</v>
      </c>
      <c r="BB224" s="34">
        <f t="shared" si="60"/>
        <v>501276.73112487793</v>
      </c>
      <c r="BC224" s="34">
        <f t="shared" si="61"/>
        <v>423918.61556243896</v>
      </c>
    </row>
    <row r="225" spans="2:55">
      <c r="B225" s="2" t="s">
        <v>66</v>
      </c>
      <c r="C225" s="2" t="s">
        <v>67</v>
      </c>
      <c r="D225" s="2" t="s">
        <v>81</v>
      </c>
      <c r="E225" s="2" t="s">
        <v>79</v>
      </c>
      <c r="F225" s="2" t="s">
        <v>68</v>
      </c>
      <c r="G225" s="2" t="s">
        <v>80</v>
      </c>
      <c r="H225" s="2" t="s">
        <v>117</v>
      </c>
      <c r="I225" s="2" t="s">
        <v>117</v>
      </c>
      <c r="J225" s="2" t="s">
        <v>117</v>
      </c>
      <c r="K225" s="2" t="s">
        <v>82</v>
      </c>
      <c r="L225" s="2" t="s">
        <v>99</v>
      </c>
      <c r="M225" s="2" t="s">
        <v>90</v>
      </c>
      <c r="N225" s="2" t="s">
        <v>115</v>
      </c>
      <c r="O225" s="2" t="s">
        <v>117</v>
      </c>
      <c r="P225" s="2" t="s">
        <v>111</v>
      </c>
      <c r="Q225" s="31">
        <v>0</v>
      </c>
      <c r="R225" s="2" t="s">
        <v>117</v>
      </c>
      <c r="S225" s="2" t="s">
        <v>107</v>
      </c>
      <c r="T225" s="20">
        <v>46174</v>
      </c>
      <c r="U225" s="32">
        <v>2</v>
      </c>
      <c r="V225" s="32">
        <v>1</v>
      </c>
      <c r="W225" s="22">
        <f t="shared" si="48"/>
        <v>1300</v>
      </c>
      <c r="X225" s="22">
        <v>29097</v>
      </c>
      <c r="Y225" s="23">
        <f t="shared" si="49"/>
        <v>37965.47376866913</v>
      </c>
      <c r="Z225" s="24">
        <f t="shared" si="50"/>
        <v>1304.7899703979492</v>
      </c>
      <c r="AA225" s="30">
        <v>921.72998046875</v>
      </c>
      <c r="AB225" s="30">
        <v>299.239990234375</v>
      </c>
      <c r="AC225" s="30">
        <v>83.819999694824219</v>
      </c>
      <c r="AD225" s="25">
        <f t="shared" si="51"/>
        <v>1003.6845926138071</v>
      </c>
      <c r="AE225" s="26">
        <f t="shared" si="52"/>
        <v>939.20766977163464</v>
      </c>
      <c r="AF225" s="26">
        <f t="shared" si="53"/>
        <v>64.47692284217247</v>
      </c>
      <c r="AG225" s="26">
        <f t="shared" si="54"/>
        <v>0</v>
      </c>
      <c r="AH225" s="25">
        <f t="shared" si="55"/>
        <v>29.204210591283946</v>
      </c>
      <c r="AI225" s="25">
        <f t="shared" si="56"/>
        <v>27.328125567345253</v>
      </c>
      <c r="AJ225" s="25">
        <f t="shared" si="57"/>
        <v>1.8760850239386924</v>
      </c>
      <c r="AK225" s="25">
        <f t="shared" si="58"/>
        <v>0</v>
      </c>
      <c r="BA225" s="34">
        <f t="shared" si="59"/>
        <v>26819577.241699219</v>
      </c>
      <c r="BB225" s="34">
        <f t="shared" si="60"/>
        <v>8706985.9958496094</v>
      </c>
      <c r="BC225" s="34">
        <f t="shared" si="61"/>
        <v>2438910.5311203003</v>
      </c>
    </row>
    <row r="226" spans="2:55">
      <c r="B226" s="2" t="s">
        <v>66</v>
      </c>
      <c r="C226" s="2" t="s">
        <v>67</v>
      </c>
      <c r="D226" s="2" t="s">
        <v>81</v>
      </c>
      <c r="E226" s="2" t="s">
        <v>79</v>
      </c>
      <c r="F226" s="2" t="s">
        <v>68</v>
      </c>
      <c r="G226" s="2" t="s">
        <v>80</v>
      </c>
      <c r="H226" s="2" t="s">
        <v>117</v>
      </c>
      <c r="I226" s="2" t="s">
        <v>117</v>
      </c>
      <c r="J226" s="2" t="s">
        <v>117</v>
      </c>
      <c r="K226" s="2" t="s">
        <v>82</v>
      </c>
      <c r="L226" s="2" t="s">
        <v>99</v>
      </c>
      <c r="M226" s="2" t="s">
        <v>90</v>
      </c>
      <c r="N226" s="2" t="s">
        <v>115</v>
      </c>
      <c r="O226" s="2" t="s">
        <v>117</v>
      </c>
      <c r="P226" s="2" t="s">
        <v>111</v>
      </c>
      <c r="Q226" s="31">
        <v>0</v>
      </c>
      <c r="R226" s="2" t="s">
        <v>117</v>
      </c>
      <c r="S226" s="2" t="s">
        <v>140</v>
      </c>
      <c r="T226" s="20">
        <v>46174</v>
      </c>
      <c r="U226" s="32">
        <v>2</v>
      </c>
      <c r="V226" s="32">
        <v>1</v>
      </c>
      <c r="W226" s="22">
        <f t="shared" si="48"/>
        <v>1300</v>
      </c>
      <c r="X226" s="22">
        <v>50026</v>
      </c>
      <c r="Y226" s="23">
        <f t="shared" si="49"/>
        <v>65351.966917205813</v>
      </c>
      <c r="Z226" s="24">
        <f t="shared" si="50"/>
        <v>1306.3600311279297</v>
      </c>
      <c r="AA226" s="30">
        <v>1025.9100341796875</v>
      </c>
      <c r="AB226" s="30">
        <v>209.64999389648438</v>
      </c>
      <c r="AC226" s="30">
        <v>70.800003051757813</v>
      </c>
      <c r="AD226" s="25">
        <f t="shared" si="51"/>
        <v>1004.892331636869</v>
      </c>
      <c r="AE226" s="26">
        <f t="shared" si="52"/>
        <v>950.43079082782458</v>
      </c>
      <c r="AF226" s="26">
        <f t="shared" si="53"/>
        <v>54.461540809044472</v>
      </c>
      <c r="AG226" s="26">
        <f t="shared" si="54"/>
        <v>0</v>
      </c>
      <c r="AH226" s="25">
        <f t="shared" si="55"/>
        <v>50.270743782466006</v>
      </c>
      <c r="AI226" s="25">
        <f t="shared" si="56"/>
        <v>47.546250741952754</v>
      </c>
      <c r="AJ226" s="25">
        <f t="shared" si="57"/>
        <v>2.7244930405132588</v>
      </c>
      <c r="AK226" s="25">
        <f t="shared" si="58"/>
        <v>0</v>
      </c>
      <c r="BA226" s="34">
        <f t="shared" si="59"/>
        <v>51322175.369873047</v>
      </c>
      <c r="BB226" s="34">
        <f t="shared" si="60"/>
        <v>10487950.594665527</v>
      </c>
      <c r="BC226" s="34">
        <f t="shared" si="61"/>
        <v>3541840.9526672363</v>
      </c>
    </row>
    <row r="227" spans="2:55">
      <c r="B227" s="2" t="s">
        <v>66</v>
      </c>
      <c r="C227" s="2" t="s">
        <v>67</v>
      </c>
      <c r="D227" s="2" t="s">
        <v>81</v>
      </c>
      <c r="E227" s="2" t="s">
        <v>79</v>
      </c>
      <c r="F227" s="2" t="s">
        <v>68</v>
      </c>
      <c r="G227" s="2" t="s">
        <v>80</v>
      </c>
      <c r="H227" s="2" t="s">
        <v>117</v>
      </c>
      <c r="I227" s="2" t="s">
        <v>117</v>
      </c>
      <c r="J227" s="2" t="s">
        <v>117</v>
      </c>
      <c r="K227" s="2" t="s">
        <v>82</v>
      </c>
      <c r="L227" s="2" t="s">
        <v>99</v>
      </c>
      <c r="M227" s="2" t="s">
        <v>90</v>
      </c>
      <c r="N227" s="2" t="s">
        <v>115</v>
      </c>
      <c r="O227" s="2" t="s">
        <v>117</v>
      </c>
      <c r="P227" s="2" t="s">
        <v>111</v>
      </c>
      <c r="Q227" s="31">
        <v>0</v>
      </c>
      <c r="R227" s="2" t="s">
        <v>117</v>
      </c>
      <c r="S227" s="2" t="s">
        <v>109</v>
      </c>
      <c r="T227" s="20">
        <v>46174</v>
      </c>
      <c r="U227" s="32">
        <v>2</v>
      </c>
      <c r="V227" s="32">
        <v>1</v>
      </c>
      <c r="W227" s="22">
        <f t="shared" si="48"/>
        <v>1300</v>
      </c>
      <c r="X227" s="22">
        <v>35973</v>
      </c>
      <c r="Y227" s="23">
        <f t="shared" si="49"/>
        <v>49686.267022613523</v>
      </c>
      <c r="Z227" s="24">
        <f t="shared" si="50"/>
        <v>1381.2099914550781</v>
      </c>
      <c r="AA227" s="30">
        <v>1112.3599853515625</v>
      </c>
      <c r="AB227" s="30">
        <v>248.99000549316406</v>
      </c>
      <c r="AC227" s="30">
        <v>19.860000610351563</v>
      </c>
      <c r="AD227" s="25">
        <f t="shared" si="51"/>
        <v>1062.4692241962139</v>
      </c>
      <c r="AE227" s="26">
        <f t="shared" si="52"/>
        <v>1047.1923006497896</v>
      </c>
      <c r="AF227" s="26">
        <f t="shared" si="53"/>
        <v>15.276923546424278</v>
      </c>
      <c r="AG227" s="26">
        <f t="shared" si="54"/>
        <v>0</v>
      </c>
      <c r="AH227" s="25">
        <f t="shared" si="55"/>
        <v>38.2202054020104</v>
      </c>
      <c r="AI227" s="25">
        <f t="shared" si="56"/>
        <v>37.670648631274879</v>
      </c>
      <c r="AJ227" s="25">
        <f t="shared" si="57"/>
        <v>0.54955677073552056</v>
      </c>
      <c r="AK227" s="25">
        <f t="shared" si="58"/>
        <v>0</v>
      </c>
      <c r="BA227" s="34">
        <f t="shared" si="59"/>
        <v>40014925.753051758</v>
      </c>
      <c r="BB227" s="34">
        <f t="shared" si="60"/>
        <v>8956917.4676055908</v>
      </c>
      <c r="BC227" s="34">
        <f t="shared" si="61"/>
        <v>714423.80195617676</v>
      </c>
    </row>
    <row r="228" spans="2:55">
      <c r="B228" s="2" t="s">
        <v>66</v>
      </c>
      <c r="C228" s="2" t="s">
        <v>67</v>
      </c>
      <c r="D228" s="2" t="s">
        <v>81</v>
      </c>
      <c r="E228" s="2" t="s">
        <v>79</v>
      </c>
      <c r="F228" s="2" t="s">
        <v>68</v>
      </c>
      <c r="G228" s="2" t="s">
        <v>80</v>
      </c>
      <c r="H228" s="2" t="s">
        <v>117</v>
      </c>
      <c r="I228" s="2" t="s">
        <v>117</v>
      </c>
      <c r="J228" s="2" t="s">
        <v>117</v>
      </c>
      <c r="K228" s="2" t="s">
        <v>82</v>
      </c>
      <c r="L228" s="2" t="s">
        <v>99</v>
      </c>
      <c r="M228" s="2" t="s">
        <v>90</v>
      </c>
      <c r="N228" s="2" t="s">
        <v>115</v>
      </c>
      <c r="O228" s="2" t="s">
        <v>117</v>
      </c>
      <c r="P228" s="2" t="s">
        <v>111</v>
      </c>
      <c r="Q228" s="31">
        <v>0</v>
      </c>
      <c r="R228" s="2" t="s">
        <v>117</v>
      </c>
      <c r="S228" s="2" t="s">
        <v>108</v>
      </c>
      <c r="T228" s="20">
        <v>46174</v>
      </c>
      <c r="U228" s="32">
        <v>2</v>
      </c>
      <c r="V228" s="32">
        <v>1</v>
      </c>
      <c r="W228" s="22">
        <f t="shared" si="48"/>
        <v>1300</v>
      </c>
      <c r="X228" s="22">
        <v>42276</v>
      </c>
      <c r="Y228" s="23">
        <f t="shared" si="49"/>
        <v>59372.414787048343</v>
      </c>
      <c r="Z228" s="24">
        <f t="shared" si="50"/>
        <v>1404.4000091552734</v>
      </c>
      <c r="AA228" s="30">
        <v>1174.8800048828125</v>
      </c>
      <c r="AB228" s="30">
        <v>142.99000549316406</v>
      </c>
      <c r="AC228" s="30">
        <v>86.529998779296875</v>
      </c>
      <c r="AD228" s="25">
        <f t="shared" si="51"/>
        <v>1080.3076993502102</v>
      </c>
      <c r="AE228" s="26">
        <f t="shared" si="52"/>
        <v>1013.7461618276742</v>
      </c>
      <c r="AF228" s="26">
        <f t="shared" si="53"/>
        <v>66.561537522536057</v>
      </c>
      <c r="AG228" s="26">
        <f t="shared" si="54"/>
        <v>0</v>
      </c>
      <c r="AH228" s="25">
        <f t="shared" si="55"/>
        <v>45.671088297729483</v>
      </c>
      <c r="AI228" s="25">
        <f t="shared" si="56"/>
        <v>42.85713273742676</v>
      </c>
      <c r="AJ228" s="25">
        <f t="shared" si="57"/>
        <v>2.8139555603027344</v>
      </c>
      <c r="AK228" s="25">
        <f t="shared" si="58"/>
        <v>0</v>
      </c>
      <c r="BA228" s="34">
        <f t="shared" si="59"/>
        <v>49669227.086425781</v>
      </c>
      <c r="BB228" s="34">
        <f t="shared" si="60"/>
        <v>6045045.4722290039</v>
      </c>
      <c r="BC228" s="34">
        <f t="shared" si="61"/>
        <v>3658142.2283935547</v>
      </c>
    </row>
    <row r="229" spans="2:55">
      <c r="B229" s="2" t="s">
        <v>66</v>
      </c>
      <c r="C229" s="2" t="s">
        <v>67</v>
      </c>
      <c r="D229" s="2" t="s">
        <v>81</v>
      </c>
      <c r="E229" s="2" t="s">
        <v>79</v>
      </c>
      <c r="F229" s="2" t="s">
        <v>68</v>
      </c>
      <c r="G229" s="2" t="s">
        <v>80</v>
      </c>
      <c r="H229" s="2" t="s">
        <v>117</v>
      </c>
      <c r="I229" s="2" t="s">
        <v>117</v>
      </c>
      <c r="J229" s="2" t="s">
        <v>117</v>
      </c>
      <c r="K229" s="2" t="s">
        <v>82</v>
      </c>
      <c r="L229" s="2" t="s">
        <v>99</v>
      </c>
      <c r="M229" s="2" t="s">
        <v>90</v>
      </c>
      <c r="N229" s="2" t="s">
        <v>115</v>
      </c>
      <c r="O229" s="2" t="s">
        <v>117</v>
      </c>
      <c r="P229" s="2" t="s">
        <v>111</v>
      </c>
      <c r="Q229" s="31">
        <v>0</v>
      </c>
      <c r="R229" s="2" t="s">
        <v>117</v>
      </c>
      <c r="S229" s="2" t="s">
        <v>103</v>
      </c>
      <c r="T229" s="20">
        <v>46174</v>
      </c>
      <c r="U229" s="32">
        <v>2</v>
      </c>
      <c r="V229" s="32">
        <v>1</v>
      </c>
      <c r="W229" s="22">
        <f t="shared" si="48"/>
        <v>1300</v>
      </c>
      <c r="X229" s="22">
        <v>13774</v>
      </c>
      <c r="Y229" s="23">
        <f t="shared" si="49"/>
        <v>17284.57910256958</v>
      </c>
      <c r="Z229" s="24">
        <f t="shared" si="50"/>
        <v>1254.8699798583984</v>
      </c>
      <c r="AA229" s="30">
        <v>911.15997314453125</v>
      </c>
      <c r="AB229" s="30">
        <v>250.49000549316406</v>
      </c>
      <c r="AC229" s="30">
        <v>93.220001220703125</v>
      </c>
      <c r="AD229" s="25">
        <f t="shared" si="51"/>
        <v>965.2845998910758</v>
      </c>
      <c r="AE229" s="26">
        <f t="shared" si="52"/>
        <v>893.5769066443811</v>
      </c>
      <c r="AF229" s="26">
        <f t="shared" si="53"/>
        <v>71.707693246694703</v>
      </c>
      <c r="AG229" s="26">
        <f t="shared" si="54"/>
        <v>0</v>
      </c>
      <c r="AH229" s="25">
        <f t="shared" si="55"/>
        <v>13.295830078899678</v>
      </c>
      <c r="AI229" s="25">
        <f t="shared" si="56"/>
        <v>12.308128312119706</v>
      </c>
      <c r="AJ229" s="25">
        <f t="shared" si="57"/>
        <v>0.98770176677997279</v>
      </c>
      <c r="AK229" s="25">
        <f t="shared" si="58"/>
        <v>0</v>
      </c>
      <c r="BA229" s="34">
        <f t="shared" si="59"/>
        <v>12550317.470092773</v>
      </c>
      <c r="BB229" s="34">
        <f t="shared" si="60"/>
        <v>3450249.3356628418</v>
      </c>
      <c r="BC229" s="34">
        <f t="shared" si="61"/>
        <v>1284012.2968139648</v>
      </c>
    </row>
    <row r="230" spans="2:55">
      <c r="B230" s="2" t="s">
        <v>66</v>
      </c>
      <c r="C230" s="2" t="s">
        <v>67</v>
      </c>
      <c r="D230" s="2" t="s">
        <v>81</v>
      </c>
      <c r="E230" s="2" t="s">
        <v>79</v>
      </c>
      <c r="F230" s="2" t="s">
        <v>68</v>
      </c>
      <c r="G230" s="2" t="s">
        <v>80</v>
      </c>
      <c r="H230" s="2" t="s">
        <v>117</v>
      </c>
      <c r="I230" s="2" t="s">
        <v>117</v>
      </c>
      <c r="J230" s="2" t="s">
        <v>117</v>
      </c>
      <c r="K230" s="2" t="s">
        <v>82</v>
      </c>
      <c r="L230" s="2" t="s">
        <v>99</v>
      </c>
      <c r="M230" s="2" t="s">
        <v>90</v>
      </c>
      <c r="N230" s="2" t="s">
        <v>115</v>
      </c>
      <c r="O230" s="2" t="s">
        <v>117</v>
      </c>
      <c r="P230" s="2" t="s">
        <v>111</v>
      </c>
      <c r="Q230" s="31">
        <v>0</v>
      </c>
      <c r="R230" s="2" t="s">
        <v>117</v>
      </c>
      <c r="S230" s="2" t="s">
        <v>104</v>
      </c>
      <c r="T230" s="20">
        <v>46174</v>
      </c>
      <c r="U230" s="32">
        <v>2</v>
      </c>
      <c r="V230" s="32">
        <v>1</v>
      </c>
      <c r="W230" s="22">
        <f t="shared" si="48"/>
        <v>1300</v>
      </c>
      <c r="X230" s="22">
        <v>44964</v>
      </c>
      <c r="Y230" s="23">
        <f t="shared" si="49"/>
        <v>41725.693642799379</v>
      </c>
      <c r="Z230" s="24">
        <f t="shared" si="50"/>
        <v>927.98002052307129</v>
      </c>
      <c r="AA230" s="30">
        <v>835.33001708984375</v>
      </c>
      <c r="AB230" s="30">
        <v>11.850000381469727</v>
      </c>
      <c r="AC230" s="30">
        <v>80.800003051757813</v>
      </c>
      <c r="AD230" s="25">
        <f t="shared" si="51"/>
        <v>713.83078501774719</v>
      </c>
      <c r="AE230" s="26">
        <f t="shared" si="52"/>
        <v>651.67693651639502</v>
      </c>
      <c r="AF230" s="26">
        <f t="shared" si="53"/>
        <v>62.153848501352165</v>
      </c>
      <c r="AG230" s="26">
        <f t="shared" si="54"/>
        <v>0</v>
      </c>
      <c r="AH230" s="25">
        <f t="shared" si="55"/>
        <v>32.096687417537986</v>
      </c>
      <c r="AI230" s="25">
        <f t="shared" si="56"/>
        <v>29.302001773523184</v>
      </c>
      <c r="AJ230" s="25">
        <f t="shared" si="57"/>
        <v>2.7946856440147987</v>
      </c>
      <c r="AK230" s="25">
        <f t="shared" si="58"/>
        <v>0</v>
      </c>
      <c r="BA230" s="34">
        <f t="shared" si="59"/>
        <v>37559778.888427734</v>
      </c>
      <c r="BB230" s="34">
        <f t="shared" si="60"/>
        <v>532823.41715240479</v>
      </c>
      <c r="BC230" s="34">
        <f t="shared" si="61"/>
        <v>3633091.3372192383</v>
      </c>
    </row>
    <row r="231" spans="2:55">
      <c r="B231" s="2" t="s">
        <v>66</v>
      </c>
      <c r="C231" s="2" t="s">
        <v>67</v>
      </c>
      <c r="D231" s="2" t="s">
        <v>81</v>
      </c>
      <c r="E231" s="2" t="s">
        <v>79</v>
      </c>
      <c r="F231" s="2" t="s">
        <v>68</v>
      </c>
      <c r="G231" s="2" t="s">
        <v>80</v>
      </c>
      <c r="H231" s="2" t="s">
        <v>117</v>
      </c>
      <c r="I231" s="2" t="s">
        <v>117</v>
      </c>
      <c r="J231" s="2" t="s">
        <v>117</v>
      </c>
      <c r="K231" s="2" t="s">
        <v>82</v>
      </c>
      <c r="L231" s="2" t="s">
        <v>99</v>
      </c>
      <c r="M231" s="2" t="s">
        <v>91</v>
      </c>
      <c r="N231" s="2" t="s">
        <v>115</v>
      </c>
      <c r="O231" s="2" t="s">
        <v>117</v>
      </c>
      <c r="P231" s="2" t="s">
        <v>111</v>
      </c>
      <c r="Q231" s="31">
        <v>0</v>
      </c>
      <c r="R231" s="2" t="s">
        <v>117</v>
      </c>
      <c r="S231" s="2" t="s">
        <v>101</v>
      </c>
      <c r="T231" s="20">
        <v>46174</v>
      </c>
      <c r="U231" s="32">
        <v>2</v>
      </c>
      <c r="V231" s="32">
        <v>1</v>
      </c>
      <c r="W231" s="22">
        <f t="shared" si="48"/>
        <v>1300</v>
      </c>
      <c r="X231" s="22">
        <v>2658</v>
      </c>
      <c r="Y231" s="23">
        <f t="shared" si="49"/>
        <v>3583.0106262359618</v>
      </c>
      <c r="Z231" s="24">
        <f t="shared" si="50"/>
        <v>1348.0100173950195</v>
      </c>
      <c r="AA231" s="30">
        <v>1190.3900146484375</v>
      </c>
      <c r="AB231" s="30">
        <v>72.44000244140625</v>
      </c>
      <c r="AC231" s="30">
        <v>85.180000305175781</v>
      </c>
      <c r="AD231" s="25">
        <f t="shared" si="51"/>
        <v>1036.9307826115535</v>
      </c>
      <c r="AE231" s="26">
        <f t="shared" si="52"/>
        <v>647.60513696915064</v>
      </c>
      <c r="AF231" s="26">
        <f t="shared" si="53"/>
        <v>65.52307715782753</v>
      </c>
      <c r="AG231" s="26">
        <f t="shared" si="54"/>
        <v>323.80256848457532</v>
      </c>
      <c r="AH231" s="25">
        <f t="shared" si="55"/>
        <v>2.7561620201815091</v>
      </c>
      <c r="AI231" s="25">
        <f t="shared" si="56"/>
        <v>1.7213344540640025</v>
      </c>
      <c r="AJ231" s="25">
        <f t="shared" si="57"/>
        <v>0.17416033908550557</v>
      </c>
      <c r="AK231" s="25">
        <f t="shared" si="58"/>
        <v>0.86066722703200127</v>
      </c>
      <c r="BA231" s="34">
        <f t="shared" si="59"/>
        <v>3164056.6589355469</v>
      </c>
      <c r="BB231" s="34">
        <f t="shared" si="60"/>
        <v>192545.52648925781</v>
      </c>
      <c r="BC231" s="34">
        <f t="shared" si="61"/>
        <v>226408.44081115723</v>
      </c>
    </row>
    <row r="232" spans="2:55">
      <c r="B232" s="2" t="s">
        <v>66</v>
      </c>
      <c r="C232" s="2" t="s">
        <v>67</v>
      </c>
      <c r="D232" s="2" t="s">
        <v>81</v>
      </c>
      <c r="E232" s="2" t="s">
        <v>79</v>
      </c>
      <c r="F232" s="2" t="s">
        <v>68</v>
      </c>
      <c r="G232" s="2" t="s">
        <v>80</v>
      </c>
      <c r="H232" s="2" t="s">
        <v>117</v>
      </c>
      <c r="I232" s="2" t="s">
        <v>117</v>
      </c>
      <c r="J232" s="2" t="s">
        <v>117</v>
      </c>
      <c r="K232" s="2" t="s">
        <v>82</v>
      </c>
      <c r="L232" s="2" t="s">
        <v>99</v>
      </c>
      <c r="M232" s="2" t="s">
        <v>91</v>
      </c>
      <c r="N232" s="2" t="s">
        <v>115</v>
      </c>
      <c r="O232" s="2" t="s">
        <v>117</v>
      </c>
      <c r="P232" s="2" t="s">
        <v>111</v>
      </c>
      <c r="Q232" s="31">
        <v>0</v>
      </c>
      <c r="R232" s="2" t="s">
        <v>117</v>
      </c>
      <c r="S232" s="2" t="s">
        <v>102</v>
      </c>
      <c r="T232" s="20">
        <v>46174</v>
      </c>
      <c r="U232" s="32">
        <v>2</v>
      </c>
      <c r="V232" s="32">
        <v>1</v>
      </c>
      <c r="W232" s="22">
        <f t="shared" si="48"/>
        <v>1300</v>
      </c>
      <c r="X232" s="22">
        <v>11141</v>
      </c>
      <c r="Y232" s="23">
        <f t="shared" si="49"/>
        <v>15381.599054397582</v>
      </c>
      <c r="Z232" s="24">
        <f t="shared" si="50"/>
        <v>1380.6300201416016</v>
      </c>
      <c r="AA232" s="30">
        <v>1060.780029296875</v>
      </c>
      <c r="AB232" s="30">
        <v>281.01998901367188</v>
      </c>
      <c r="AC232" s="30">
        <v>38.830001831054688</v>
      </c>
      <c r="AD232" s="25">
        <f t="shared" si="51"/>
        <v>1062.0230924166167</v>
      </c>
      <c r="AE232" s="26">
        <f t="shared" si="52"/>
        <v>1032.1538602388823</v>
      </c>
      <c r="AF232" s="26">
        <f t="shared" si="53"/>
        <v>29.869232177734375</v>
      </c>
      <c r="AG232" s="26">
        <f t="shared" si="54"/>
        <v>0</v>
      </c>
      <c r="AH232" s="25">
        <f t="shared" si="55"/>
        <v>11.831999272613528</v>
      </c>
      <c r="AI232" s="25">
        <f t="shared" si="56"/>
        <v>11.499226156921388</v>
      </c>
      <c r="AJ232" s="25">
        <f t="shared" si="57"/>
        <v>0.33277311569213869</v>
      </c>
      <c r="AK232" s="25">
        <f t="shared" si="58"/>
        <v>0</v>
      </c>
      <c r="BA232" s="34">
        <f t="shared" si="59"/>
        <v>11818150.306396484</v>
      </c>
      <c r="BB232" s="34">
        <f t="shared" si="60"/>
        <v>3130843.6976013184</v>
      </c>
      <c r="BC232" s="34">
        <f t="shared" si="61"/>
        <v>432605.05039978027</v>
      </c>
    </row>
    <row r="233" spans="2:55">
      <c r="B233" s="2" t="s">
        <v>66</v>
      </c>
      <c r="C233" s="2" t="s">
        <v>67</v>
      </c>
      <c r="D233" s="2" t="s">
        <v>81</v>
      </c>
      <c r="E233" s="2" t="s">
        <v>79</v>
      </c>
      <c r="F233" s="2" t="s">
        <v>68</v>
      </c>
      <c r="G233" s="2" t="s">
        <v>80</v>
      </c>
      <c r="H233" s="2" t="s">
        <v>117</v>
      </c>
      <c r="I233" s="2" t="s">
        <v>117</v>
      </c>
      <c r="J233" s="2" t="s">
        <v>117</v>
      </c>
      <c r="K233" s="2" t="s">
        <v>82</v>
      </c>
      <c r="L233" s="2" t="s">
        <v>99</v>
      </c>
      <c r="M233" s="2" t="s">
        <v>91</v>
      </c>
      <c r="N233" s="2" t="s">
        <v>115</v>
      </c>
      <c r="O233" s="2" t="s">
        <v>117</v>
      </c>
      <c r="P233" s="2" t="s">
        <v>111</v>
      </c>
      <c r="Q233" s="31">
        <v>0</v>
      </c>
      <c r="R233" s="2" t="s">
        <v>117</v>
      </c>
      <c r="S233" s="2" t="s">
        <v>139</v>
      </c>
      <c r="T233" s="20">
        <v>46174</v>
      </c>
      <c r="U233" s="32">
        <v>2</v>
      </c>
      <c r="V233" s="32">
        <v>1</v>
      </c>
      <c r="W233" s="22">
        <f t="shared" si="48"/>
        <v>1300</v>
      </c>
      <c r="X233" s="22">
        <v>49820</v>
      </c>
      <c r="Y233" s="23">
        <f t="shared" si="49"/>
        <v>57064.82468887329</v>
      </c>
      <c r="Z233" s="24">
        <f t="shared" si="50"/>
        <v>1145.4200057983398</v>
      </c>
      <c r="AA233" s="30">
        <v>884.82000732421875</v>
      </c>
      <c r="AB233" s="30">
        <v>163.22999572753906</v>
      </c>
      <c r="AC233" s="30">
        <v>97.370002746582031</v>
      </c>
      <c r="AD233" s="25">
        <f t="shared" si="51"/>
        <v>881.09231215256909</v>
      </c>
      <c r="AE233" s="26">
        <f t="shared" si="52"/>
        <v>806.19231003981372</v>
      </c>
      <c r="AF233" s="26">
        <f t="shared" si="53"/>
        <v>74.900002112755416</v>
      </c>
      <c r="AG233" s="26">
        <f t="shared" si="54"/>
        <v>0</v>
      </c>
      <c r="AH233" s="25">
        <f t="shared" si="55"/>
        <v>43.89601899144099</v>
      </c>
      <c r="AI233" s="25">
        <f t="shared" si="56"/>
        <v>40.164500886183525</v>
      </c>
      <c r="AJ233" s="25">
        <f t="shared" si="57"/>
        <v>3.7315181052574746</v>
      </c>
      <c r="AK233" s="25">
        <f t="shared" si="58"/>
        <v>0</v>
      </c>
      <c r="BA233" s="34">
        <f t="shared" si="59"/>
        <v>44081732.764892578</v>
      </c>
      <c r="BB233" s="34">
        <f t="shared" si="60"/>
        <v>8132118.3871459961</v>
      </c>
      <c r="BC233" s="34">
        <f t="shared" si="61"/>
        <v>4850973.5368347168</v>
      </c>
    </row>
    <row r="234" spans="2:55">
      <c r="B234" s="2" t="s">
        <v>66</v>
      </c>
      <c r="C234" s="2" t="s">
        <v>67</v>
      </c>
      <c r="D234" s="2" t="s">
        <v>81</v>
      </c>
      <c r="E234" s="2" t="s">
        <v>79</v>
      </c>
      <c r="F234" s="2" t="s">
        <v>68</v>
      </c>
      <c r="G234" s="2" t="s">
        <v>80</v>
      </c>
      <c r="H234" s="2" t="s">
        <v>117</v>
      </c>
      <c r="I234" s="2" t="s">
        <v>117</v>
      </c>
      <c r="J234" s="2" t="s">
        <v>117</v>
      </c>
      <c r="K234" s="2" t="s">
        <v>82</v>
      </c>
      <c r="L234" s="2" t="s">
        <v>99</v>
      </c>
      <c r="M234" s="2" t="s">
        <v>91</v>
      </c>
      <c r="N234" s="2" t="s">
        <v>115</v>
      </c>
      <c r="O234" s="2" t="s">
        <v>117</v>
      </c>
      <c r="P234" s="2" t="s">
        <v>111</v>
      </c>
      <c r="Q234" s="31">
        <v>0</v>
      </c>
      <c r="R234" s="2" t="s">
        <v>117</v>
      </c>
      <c r="S234" s="2" t="s">
        <v>106</v>
      </c>
      <c r="T234" s="20">
        <v>46174</v>
      </c>
      <c r="U234" s="32">
        <v>2</v>
      </c>
      <c r="V234" s="32">
        <v>1</v>
      </c>
      <c r="W234" s="22">
        <f t="shared" si="48"/>
        <v>1300</v>
      </c>
      <c r="X234" s="22">
        <v>13390</v>
      </c>
      <c r="Y234" s="23">
        <f t="shared" si="49"/>
        <v>17786.740408172609</v>
      </c>
      <c r="Z234" s="24">
        <f t="shared" si="50"/>
        <v>1328.3600006103516</v>
      </c>
      <c r="AA234" s="30">
        <v>1167.25</v>
      </c>
      <c r="AB234" s="30">
        <v>69.980003356933594</v>
      </c>
      <c r="AC234" s="30">
        <v>91.129997253417969</v>
      </c>
      <c r="AD234" s="25">
        <f t="shared" si="51"/>
        <v>1021.8153850848859</v>
      </c>
      <c r="AE234" s="26">
        <f t="shared" si="52"/>
        <v>951.71538719764123</v>
      </c>
      <c r="AF234" s="26">
        <f t="shared" si="53"/>
        <v>70.099997887244598</v>
      </c>
      <c r="AG234" s="26">
        <f t="shared" si="54"/>
        <v>0</v>
      </c>
      <c r="AH234" s="25">
        <f t="shared" si="55"/>
        <v>13.68210800628662</v>
      </c>
      <c r="AI234" s="25">
        <f t="shared" si="56"/>
        <v>12.743469034576416</v>
      </c>
      <c r="AJ234" s="25">
        <f t="shared" si="57"/>
        <v>0.93863897171020516</v>
      </c>
      <c r="AK234" s="25">
        <f t="shared" si="58"/>
        <v>0</v>
      </c>
      <c r="BA234" s="34">
        <f t="shared" si="59"/>
        <v>15629477.5</v>
      </c>
      <c r="BB234" s="34">
        <f t="shared" si="60"/>
        <v>937032.24494934082</v>
      </c>
      <c r="BC234" s="34">
        <f t="shared" si="61"/>
        <v>1220230.6632232666</v>
      </c>
    </row>
    <row r="235" spans="2:55">
      <c r="B235" s="2" t="s">
        <v>66</v>
      </c>
      <c r="C235" s="2" t="s">
        <v>67</v>
      </c>
      <c r="D235" s="2" t="s">
        <v>81</v>
      </c>
      <c r="E235" s="2" t="s">
        <v>79</v>
      </c>
      <c r="F235" s="2" t="s">
        <v>68</v>
      </c>
      <c r="G235" s="2" t="s">
        <v>80</v>
      </c>
      <c r="H235" s="2" t="s">
        <v>117</v>
      </c>
      <c r="I235" s="2" t="s">
        <v>117</v>
      </c>
      <c r="J235" s="2" t="s">
        <v>117</v>
      </c>
      <c r="K235" s="2" t="s">
        <v>82</v>
      </c>
      <c r="L235" s="2" t="s">
        <v>99</v>
      </c>
      <c r="M235" s="2" t="s">
        <v>91</v>
      </c>
      <c r="N235" s="2" t="s">
        <v>115</v>
      </c>
      <c r="O235" s="2" t="s">
        <v>117</v>
      </c>
      <c r="P235" s="2" t="s">
        <v>111</v>
      </c>
      <c r="Q235" s="31">
        <v>0</v>
      </c>
      <c r="R235" s="2" t="s">
        <v>117</v>
      </c>
      <c r="S235" s="2" t="s">
        <v>105</v>
      </c>
      <c r="T235" s="20">
        <v>46174</v>
      </c>
      <c r="U235" s="32">
        <v>2</v>
      </c>
      <c r="V235" s="32">
        <v>1</v>
      </c>
      <c r="W235" s="22">
        <f t="shared" si="48"/>
        <v>1300</v>
      </c>
      <c r="X235" s="22">
        <v>34483</v>
      </c>
      <c r="Y235" s="23">
        <f t="shared" si="49"/>
        <v>48081.369704569879</v>
      </c>
      <c r="Z235" s="24">
        <f t="shared" si="50"/>
        <v>1394.3499609827995</v>
      </c>
      <c r="AA235" s="30">
        <v>1391.7099609375</v>
      </c>
      <c r="AB235" s="30">
        <v>0.93000000715255737</v>
      </c>
      <c r="AC235" s="30">
        <v>1.7100000381469727</v>
      </c>
      <c r="AD235" s="25">
        <f t="shared" si="51"/>
        <v>1072.5768930636921</v>
      </c>
      <c r="AE235" s="26">
        <f t="shared" si="52"/>
        <v>1071.2615084189636</v>
      </c>
      <c r="AF235" s="26">
        <f t="shared" si="53"/>
        <v>1.3153846447284405</v>
      </c>
      <c r="AG235" s="26">
        <f t="shared" si="54"/>
        <v>0</v>
      </c>
      <c r="AH235" s="25">
        <f t="shared" si="55"/>
        <v>36.985669003515298</v>
      </c>
      <c r="AI235" s="25">
        <f t="shared" si="56"/>
        <v>36.940310594811116</v>
      </c>
      <c r="AJ235" s="25">
        <f t="shared" si="57"/>
        <v>4.5358408704170815E-2</v>
      </c>
      <c r="AK235" s="25">
        <f t="shared" si="58"/>
        <v>0</v>
      </c>
      <c r="BA235" s="34">
        <f t="shared" si="59"/>
        <v>47990334.583007813</v>
      </c>
      <c r="BB235" s="34">
        <f t="shared" si="60"/>
        <v>32069.190246641636</v>
      </c>
      <c r="BC235" s="34">
        <f t="shared" si="61"/>
        <v>58965.931315422058</v>
      </c>
    </row>
    <row r="236" spans="2:55">
      <c r="B236" s="2" t="s">
        <v>66</v>
      </c>
      <c r="C236" s="2" t="s">
        <v>67</v>
      </c>
      <c r="D236" s="2" t="s">
        <v>81</v>
      </c>
      <c r="E236" s="2" t="s">
        <v>79</v>
      </c>
      <c r="F236" s="2" t="s">
        <v>68</v>
      </c>
      <c r="G236" s="2" t="s">
        <v>80</v>
      </c>
      <c r="H236" s="2" t="s">
        <v>117</v>
      </c>
      <c r="I236" s="2" t="s">
        <v>117</v>
      </c>
      <c r="J236" s="2" t="s">
        <v>117</v>
      </c>
      <c r="K236" s="2" t="s">
        <v>82</v>
      </c>
      <c r="L236" s="2" t="s">
        <v>99</v>
      </c>
      <c r="M236" s="2" t="s">
        <v>91</v>
      </c>
      <c r="N236" s="2" t="s">
        <v>115</v>
      </c>
      <c r="O236" s="2" t="s">
        <v>117</v>
      </c>
      <c r="P236" s="2" t="s">
        <v>111</v>
      </c>
      <c r="Q236" s="31">
        <v>0</v>
      </c>
      <c r="R236" s="2" t="s">
        <v>117</v>
      </c>
      <c r="S236" s="2" t="s">
        <v>107</v>
      </c>
      <c r="T236" s="20">
        <v>46174</v>
      </c>
      <c r="U236" s="32">
        <v>2</v>
      </c>
      <c r="V236" s="32">
        <v>1</v>
      </c>
      <c r="W236" s="22">
        <f t="shared" si="48"/>
        <v>1300</v>
      </c>
      <c r="X236" s="22">
        <v>18827</v>
      </c>
      <c r="Y236" s="23">
        <f t="shared" si="49"/>
        <v>15055.575338813305</v>
      </c>
      <c r="Z236" s="24">
        <f t="shared" si="50"/>
        <v>799.67999887466431</v>
      </c>
      <c r="AA236" s="30">
        <v>733.25</v>
      </c>
      <c r="AB236" s="30">
        <v>2.9000000953674316</v>
      </c>
      <c r="AC236" s="30">
        <v>63.529998779296875</v>
      </c>
      <c r="AD236" s="25">
        <f t="shared" si="51"/>
        <v>615.13846067281872</v>
      </c>
      <c r="AE236" s="26">
        <f t="shared" si="52"/>
        <v>566.26923084259033</v>
      </c>
      <c r="AF236" s="26">
        <f t="shared" si="53"/>
        <v>48.869229830228363</v>
      </c>
      <c r="AG236" s="26">
        <f t="shared" si="54"/>
        <v>0</v>
      </c>
      <c r="AH236" s="25">
        <f t="shared" si="55"/>
        <v>11.581211799087157</v>
      </c>
      <c r="AI236" s="25">
        <f t="shared" si="56"/>
        <v>10.661150809073447</v>
      </c>
      <c r="AJ236" s="25">
        <f t="shared" si="57"/>
        <v>0.92006099001370945</v>
      </c>
      <c r="AK236" s="25">
        <f t="shared" si="58"/>
        <v>0</v>
      </c>
      <c r="BA236" s="34">
        <f t="shared" si="59"/>
        <v>13804897.75</v>
      </c>
      <c r="BB236" s="34">
        <f t="shared" si="60"/>
        <v>54598.301795482635</v>
      </c>
      <c r="BC236" s="34">
        <f t="shared" si="61"/>
        <v>1196079.2870178223</v>
      </c>
    </row>
    <row r="237" spans="2:55">
      <c r="B237" s="2" t="s">
        <v>66</v>
      </c>
      <c r="C237" s="2" t="s">
        <v>67</v>
      </c>
      <c r="D237" s="2" t="s">
        <v>81</v>
      </c>
      <c r="E237" s="2" t="s">
        <v>79</v>
      </c>
      <c r="F237" s="2" t="s">
        <v>68</v>
      </c>
      <c r="G237" s="2" t="s">
        <v>80</v>
      </c>
      <c r="H237" s="2" t="s">
        <v>117</v>
      </c>
      <c r="I237" s="2" t="s">
        <v>117</v>
      </c>
      <c r="J237" s="2" t="s">
        <v>117</v>
      </c>
      <c r="K237" s="2" t="s">
        <v>82</v>
      </c>
      <c r="L237" s="2" t="s">
        <v>99</v>
      </c>
      <c r="M237" s="2" t="s">
        <v>91</v>
      </c>
      <c r="N237" s="2" t="s">
        <v>115</v>
      </c>
      <c r="O237" s="2" t="s">
        <v>117</v>
      </c>
      <c r="P237" s="2" t="s">
        <v>111</v>
      </c>
      <c r="Q237" s="31">
        <v>0</v>
      </c>
      <c r="R237" s="2" t="s">
        <v>117</v>
      </c>
      <c r="S237" s="2" t="s">
        <v>140</v>
      </c>
      <c r="T237" s="20">
        <v>46174</v>
      </c>
      <c r="U237" s="32">
        <v>2</v>
      </c>
      <c r="V237" s="32">
        <v>1</v>
      </c>
      <c r="W237" s="22">
        <f t="shared" si="48"/>
        <v>1300</v>
      </c>
      <c r="X237" s="22">
        <v>42901</v>
      </c>
      <c r="Y237" s="23">
        <f t="shared" si="49"/>
        <v>64547.555593055724</v>
      </c>
      <c r="Z237" s="24">
        <f t="shared" si="50"/>
        <v>1504.569953918457</v>
      </c>
      <c r="AA237" s="30">
        <v>1370.8299560546875</v>
      </c>
      <c r="AB237" s="30">
        <v>43.319999694824219</v>
      </c>
      <c r="AC237" s="30">
        <v>90.419998168945313</v>
      </c>
      <c r="AD237" s="25">
        <f t="shared" si="51"/>
        <v>1157.3615030141978</v>
      </c>
      <c r="AE237" s="26">
        <f t="shared" si="52"/>
        <v>1087.8076582688552</v>
      </c>
      <c r="AF237" s="26">
        <f t="shared" si="53"/>
        <v>69.553844745342545</v>
      </c>
      <c r="AG237" s="26">
        <f t="shared" si="54"/>
        <v>0</v>
      </c>
      <c r="AH237" s="25">
        <f t="shared" si="55"/>
        <v>49.651965840812096</v>
      </c>
      <c r="AI237" s="25">
        <f t="shared" si="56"/>
        <v>46.66803634739216</v>
      </c>
      <c r="AJ237" s="25">
        <f t="shared" si="57"/>
        <v>2.9839294934199407</v>
      </c>
      <c r="AK237" s="25">
        <f t="shared" si="58"/>
        <v>0</v>
      </c>
      <c r="BA237" s="34">
        <f t="shared" si="59"/>
        <v>58809975.944702148</v>
      </c>
      <c r="BB237" s="34">
        <f t="shared" si="60"/>
        <v>1858471.3069076538</v>
      </c>
      <c r="BC237" s="34">
        <f t="shared" si="61"/>
        <v>3879108.3414459229</v>
      </c>
    </row>
    <row r="238" spans="2:55">
      <c r="B238" s="2" t="s">
        <v>66</v>
      </c>
      <c r="C238" s="2" t="s">
        <v>67</v>
      </c>
      <c r="D238" s="2" t="s">
        <v>81</v>
      </c>
      <c r="E238" s="2" t="s">
        <v>79</v>
      </c>
      <c r="F238" s="2" t="s">
        <v>68</v>
      </c>
      <c r="G238" s="2" t="s">
        <v>80</v>
      </c>
      <c r="H238" s="2" t="s">
        <v>117</v>
      </c>
      <c r="I238" s="2" t="s">
        <v>117</v>
      </c>
      <c r="J238" s="2" t="s">
        <v>117</v>
      </c>
      <c r="K238" s="2" t="s">
        <v>82</v>
      </c>
      <c r="L238" s="2" t="s">
        <v>99</v>
      </c>
      <c r="M238" s="2" t="s">
        <v>91</v>
      </c>
      <c r="N238" s="2" t="s">
        <v>115</v>
      </c>
      <c r="O238" s="2" t="s">
        <v>117</v>
      </c>
      <c r="P238" s="2" t="s">
        <v>111</v>
      </c>
      <c r="Q238" s="31">
        <v>0</v>
      </c>
      <c r="R238" s="2" t="s">
        <v>117</v>
      </c>
      <c r="S238" s="2" t="s">
        <v>109</v>
      </c>
      <c r="T238" s="20">
        <v>46174</v>
      </c>
      <c r="U238" s="32">
        <v>2</v>
      </c>
      <c r="V238" s="32">
        <v>1</v>
      </c>
      <c r="W238" s="22">
        <f t="shared" si="48"/>
        <v>1300</v>
      </c>
      <c r="X238" s="22">
        <v>14096</v>
      </c>
      <c r="Y238" s="23">
        <f t="shared" si="49"/>
        <v>15303.040360626221</v>
      </c>
      <c r="Z238" s="24">
        <f t="shared" si="50"/>
        <v>1085.6299915313721</v>
      </c>
      <c r="AA238" s="30">
        <v>799.80999755859375</v>
      </c>
      <c r="AB238" s="30">
        <v>258.64999389648438</v>
      </c>
      <c r="AC238" s="30">
        <v>27.170000076293945</v>
      </c>
      <c r="AD238" s="25">
        <f t="shared" si="51"/>
        <v>835.09999348567078</v>
      </c>
      <c r="AE238" s="26">
        <f t="shared" si="52"/>
        <v>814.19999342698316</v>
      </c>
      <c r="AF238" s="26">
        <f t="shared" si="53"/>
        <v>20.900000058687649</v>
      </c>
      <c r="AG238" s="26">
        <f t="shared" si="54"/>
        <v>0</v>
      </c>
      <c r="AH238" s="25">
        <f t="shared" si="55"/>
        <v>11.771569508174014</v>
      </c>
      <c r="AI238" s="25">
        <f t="shared" si="56"/>
        <v>11.476963107346755</v>
      </c>
      <c r="AJ238" s="25">
        <f t="shared" si="57"/>
        <v>0.29460640082726108</v>
      </c>
      <c r="AK238" s="25">
        <f t="shared" si="58"/>
        <v>0</v>
      </c>
      <c r="BA238" s="34">
        <f t="shared" si="59"/>
        <v>11274121.725585938</v>
      </c>
      <c r="BB238" s="34">
        <f t="shared" si="60"/>
        <v>3645930.3139648438</v>
      </c>
      <c r="BC238" s="34">
        <f t="shared" si="61"/>
        <v>382988.32107543945</v>
      </c>
    </row>
    <row r="239" spans="2:55">
      <c r="B239" s="2" t="s">
        <v>66</v>
      </c>
      <c r="C239" s="2" t="s">
        <v>67</v>
      </c>
      <c r="D239" s="2" t="s">
        <v>81</v>
      </c>
      <c r="E239" s="2" t="s">
        <v>79</v>
      </c>
      <c r="F239" s="2" t="s">
        <v>68</v>
      </c>
      <c r="G239" s="2" t="s">
        <v>80</v>
      </c>
      <c r="H239" s="2" t="s">
        <v>117</v>
      </c>
      <c r="I239" s="2" t="s">
        <v>117</v>
      </c>
      <c r="J239" s="2" t="s">
        <v>117</v>
      </c>
      <c r="K239" s="2" t="s">
        <v>82</v>
      </c>
      <c r="L239" s="2" t="s">
        <v>99</v>
      </c>
      <c r="M239" s="2" t="s">
        <v>91</v>
      </c>
      <c r="N239" s="2" t="s">
        <v>115</v>
      </c>
      <c r="O239" s="2" t="s">
        <v>117</v>
      </c>
      <c r="P239" s="2" t="s">
        <v>111</v>
      </c>
      <c r="Q239" s="31">
        <v>0</v>
      </c>
      <c r="R239" s="2" t="s">
        <v>117</v>
      </c>
      <c r="S239" s="2" t="s">
        <v>108</v>
      </c>
      <c r="T239" s="20">
        <v>46174</v>
      </c>
      <c r="U239" s="32">
        <v>2</v>
      </c>
      <c r="V239" s="32">
        <v>1</v>
      </c>
      <c r="W239" s="22">
        <f t="shared" si="48"/>
        <v>1300</v>
      </c>
      <c r="X239" s="22">
        <v>43362</v>
      </c>
      <c r="Y239" s="23">
        <f t="shared" si="49"/>
        <v>54131.384030685425</v>
      </c>
      <c r="Z239" s="24">
        <f t="shared" si="50"/>
        <v>1248.3599472045898</v>
      </c>
      <c r="AA239" s="30">
        <v>1144.449951171875</v>
      </c>
      <c r="AB239" s="30">
        <v>77.839996337890625</v>
      </c>
      <c r="AC239" s="30">
        <v>26.069999694824219</v>
      </c>
      <c r="AD239" s="25">
        <f t="shared" si="51"/>
        <v>960.27688246506921</v>
      </c>
      <c r="AE239" s="26">
        <f t="shared" si="52"/>
        <v>940.22303654597363</v>
      </c>
      <c r="AF239" s="26">
        <f t="shared" si="53"/>
        <v>20.053845919095554</v>
      </c>
      <c r="AG239" s="26">
        <f t="shared" si="54"/>
        <v>0</v>
      </c>
      <c r="AH239" s="25">
        <f t="shared" si="55"/>
        <v>41.639526177450328</v>
      </c>
      <c r="AI239" s="25">
        <f t="shared" si="56"/>
        <v>40.76995131070651</v>
      </c>
      <c r="AJ239" s="25">
        <f t="shared" si="57"/>
        <v>0.86957486674382145</v>
      </c>
      <c r="AK239" s="25">
        <f t="shared" si="58"/>
        <v>0</v>
      </c>
      <c r="BA239" s="34">
        <f t="shared" si="59"/>
        <v>49625638.782714844</v>
      </c>
      <c r="BB239" s="34">
        <f t="shared" si="60"/>
        <v>3375297.9212036133</v>
      </c>
      <c r="BC239" s="34">
        <f t="shared" si="61"/>
        <v>1130447.3267669678</v>
      </c>
    </row>
    <row r="240" spans="2:55">
      <c r="B240" s="2" t="s">
        <v>66</v>
      </c>
      <c r="C240" s="2" t="s">
        <v>67</v>
      </c>
      <c r="D240" s="2" t="s">
        <v>81</v>
      </c>
      <c r="E240" s="2" t="s">
        <v>79</v>
      </c>
      <c r="F240" s="2" t="s">
        <v>68</v>
      </c>
      <c r="G240" s="2" t="s">
        <v>80</v>
      </c>
      <c r="H240" s="2" t="s">
        <v>117</v>
      </c>
      <c r="I240" s="2" t="s">
        <v>117</v>
      </c>
      <c r="J240" s="2" t="s">
        <v>117</v>
      </c>
      <c r="K240" s="2" t="s">
        <v>82</v>
      </c>
      <c r="L240" s="2" t="s">
        <v>99</v>
      </c>
      <c r="M240" s="2" t="s">
        <v>91</v>
      </c>
      <c r="N240" s="2" t="s">
        <v>115</v>
      </c>
      <c r="O240" s="2" t="s">
        <v>117</v>
      </c>
      <c r="P240" s="2" t="s">
        <v>111</v>
      </c>
      <c r="Q240" s="31">
        <v>0</v>
      </c>
      <c r="R240" s="2" t="s">
        <v>117</v>
      </c>
      <c r="S240" s="2" t="s">
        <v>103</v>
      </c>
      <c r="T240" s="20">
        <v>46174</v>
      </c>
      <c r="U240" s="32">
        <v>2</v>
      </c>
      <c r="V240" s="32">
        <v>1</v>
      </c>
      <c r="W240" s="22">
        <f t="shared" si="48"/>
        <v>1300</v>
      </c>
      <c r="X240" s="22">
        <v>30373</v>
      </c>
      <c r="Y240" s="23">
        <f t="shared" si="49"/>
        <v>37653.105718654631</v>
      </c>
      <c r="Z240" s="24">
        <f t="shared" si="50"/>
        <v>1239.6900444030762</v>
      </c>
      <c r="AA240" s="30">
        <v>1070.4200439453125</v>
      </c>
      <c r="AB240" s="30">
        <v>120.76000213623047</v>
      </c>
      <c r="AC240" s="30">
        <v>48.509998321533203</v>
      </c>
      <c r="AD240" s="25">
        <f t="shared" si="51"/>
        <v>953.60772646390478</v>
      </c>
      <c r="AE240" s="26">
        <f t="shared" si="52"/>
        <v>916.29234313964844</v>
      </c>
      <c r="AF240" s="26">
        <f t="shared" si="53"/>
        <v>37.31538332425631</v>
      </c>
      <c r="AG240" s="26">
        <f t="shared" si="54"/>
        <v>0</v>
      </c>
      <c r="AH240" s="25">
        <f t="shared" si="55"/>
        <v>28.96392747588818</v>
      </c>
      <c r="AI240" s="25">
        <f t="shared" si="56"/>
        <v>27.830547338180541</v>
      </c>
      <c r="AJ240" s="25">
        <f t="shared" si="57"/>
        <v>1.1333801377076369</v>
      </c>
      <c r="AK240" s="25">
        <f t="shared" si="58"/>
        <v>0</v>
      </c>
      <c r="BA240" s="34">
        <f t="shared" si="59"/>
        <v>32511867.994750977</v>
      </c>
      <c r="BB240" s="34">
        <f t="shared" si="60"/>
        <v>3667843.544883728</v>
      </c>
      <c r="BC240" s="34">
        <f t="shared" si="61"/>
        <v>1473394.179019928</v>
      </c>
    </row>
    <row r="241" spans="2:55">
      <c r="B241" s="2" t="s">
        <v>66</v>
      </c>
      <c r="C241" s="2" t="s">
        <v>67</v>
      </c>
      <c r="D241" s="2" t="s">
        <v>81</v>
      </c>
      <c r="E241" s="2" t="s">
        <v>79</v>
      </c>
      <c r="F241" s="2" t="s">
        <v>68</v>
      </c>
      <c r="G241" s="2" t="s">
        <v>80</v>
      </c>
      <c r="H241" s="2" t="s">
        <v>117</v>
      </c>
      <c r="I241" s="2" t="s">
        <v>117</v>
      </c>
      <c r="J241" s="2" t="s">
        <v>117</v>
      </c>
      <c r="K241" s="2" t="s">
        <v>82</v>
      </c>
      <c r="L241" s="2" t="s">
        <v>99</v>
      </c>
      <c r="M241" s="2" t="s">
        <v>91</v>
      </c>
      <c r="N241" s="2" t="s">
        <v>115</v>
      </c>
      <c r="O241" s="2" t="s">
        <v>117</v>
      </c>
      <c r="P241" s="2" t="s">
        <v>111</v>
      </c>
      <c r="Q241" s="31">
        <v>0</v>
      </c>
      <c r="R241" s="2" t="s">
        <v>117</v>
      </c>
      <c r="S241" s="2" t="s">
        <v>104</v>
      </c>
      <c r="T241" s="20">
        <v>46174</v>
      </c>
      <c r="U241" s="32">
        <v>2</v>
      </c>
      <c r="V241" s="32">
        <v>1</v>
      </c>
      <c r="W241" s="22">
        <f t="shared" si="48"/>
        <v>1300</v>
      </c>
      <c r="X241" s="22">
        <v>11181</v>
      </c>
      <c r="Y241" s="23">
        <f t="shared" si="49"/>
        <v>20801.690818748473</v>
      </c>
      <c r="Z241" s="24">
        <f t="shared" si="50"/>
        <v>1860.4499435424805</v>
      </c>
      <c r="AA241" s="30">
        <v>1497.3199462890625</v>
      </c>
      <c r="AB241" s="30">
        <v>271.6199951171875</v>
      </c>
      <c r="AC241" s="30">
        <v>91.510002136230469</v>
      </c>
      <c r="AD241" s="25">
        <f t="shared" si="51"/>
        <v>1431.1153411865237</v>
      </c>
      <c r="AE241" s="26">
        <f t="shared" si="52"/>
        <v>1360.7230318509617</v>
      </c>
      <c r="AF241" s="26">
        <f t="shared" si="53"/>
        <v>70.392309335561905</v>
      </c>
      <c r="AG241" s="26">
        <f t="shared" si="54"/>
        <v>0</v>
      </c>
      <c r="AH241" s="25">
        <f t="shared" si="55"/>
        <v>16.001300629806522</v>
      </c>
      <c r="AI241" s="25">
        <f t="shared" si="56"/>
        <v>15.214244219125602</v>
      </c>
      <c r="AJ241" s="25">
        <f t="shared" si="57"/>
        <v>0.7870564106809177</v>
      </c>
      <c r="AK241" s="25">
        <f t="shared" si="58"/>
        <v>0</v>
      </c>
      <c r="BA241" s="34">
        <f t="shared" si="59"/>
        <v>16741534.319458008</v>
      </c>
      <c r="BB241" s="34">
        <f t="shared" si="60"/>
        <v>3036983.1654052734</v>
      </c>
      <c r="BC241" s="34">
        <f t="shared" si="61"/>
        <v>1023173.3338851929</v>
      </c>
    </row>
    <row r="242" spans="2:55">
      <c r="B242" s="2" t="s">
        <v>66</v>
      </c>
      <c r="C242" s="2" t="s">
        <v>67</v>
      </c>
      <c r="D242" s="2" t="s">
        <v>81</v>
      </c>
      <c r="E242" s="2" t="s">
        <v>79</v>
      </c>
      <c r="F242" s="2" t="s">
        <v>68</v>
      </c>
      <c r="G242" s="2" t="s">
        <v>80</v>
      </c>
      <c r="H242" s="2" t="s">
        <v>117</v>
      </c>
      <c r="I242" s="2" t="s">
        <v>117</v>
      </c>
      <c r="J242" s="2" t="s">
        <v>117</v>
      </c>
      <c r="K242" s="2" t="s">
        <v>69</v>
      </c>
      <c r="L242" s="2" t="s">
        <v>97</v>
      </c>
      <c r="M242" s="2" t="s">
        <v>88</v>
      </c>
      <c r="N242" s="2" t="s">
        <v>118</v>
      </c>
      <c r="O242" s="2" t="s">
        <v>117</v>
      </c>
      <c r="P242" s="2" t="s">
        <v>111</v>
      </c>
      <c r="Q242" s="31" t="s">
        <v>131</v>
      </c>
      <c r="R242" s="2" t="s">
        <v>117</v>
      </c>
      <c r="S242" s="2" t="s">
        <v>120</v>
      </c>
      <c r="T242" s="20">
        <v>46204</v>
      </c>
      <c r="U242" s="32">
        <v>3</v>
      </c>
      <c r="V242" s="32">
        <v>2</v>
      </c>
      <c r="W242" s="22">
        <f t="shared" si="48"/>
        <v>1</v>
      </c>
      <c r="X242" s="22">
        <v>18368</v>
      </c>
      <c r="Y242" s="23">
        <f t="shared" si="49"/>
        <v>25125.587228027343</v>
      </c>
      <c r="Z242" s="24">
        <f t="shared" si="50"/>
        <v>1367.9000015258789</v>
      </c>
      <c r="AA242" s="30">
        <v>1101.1199951171875</v>
      </c>
      <c r="AB242" s="30">
        <v>227.46000671386719</v>
      </c>
      <c r="AC242" s="30">
        <v>39.319999694824219</v>
      </c>
      <c r="AD242" s="25">
        <f t="shared" ref="AD242:AD257" si="62">AE242+AF242+AG242</f>
        <v>0</v>
      </c>
      <c r="AE242" s="26">
        <f t="shared" si="52"/>
        <v>0</v>
      </c>
      <c r="AF242" s="26">
        <f t="shared" si="53"/>
        <v>0</v>
      </c>
      <c r="AG242" s="26">
        <f t="shared" si="54"/>
        <v>0</v>
      </c>
      <c r="AH242" s="25">
        <f t="shared" ref="AH242:AH257" si="63">IF($K242="수출",AD242*$X242/1000000,)</f>
        <v>0</v>
      </c>
      <c r="AI242" s="25">
        <f t="shared" ref="AI242:AI257" si="64">IF($K242="수출",AE242*$X242/1000000,)</f>
        <v>0</v>
      </c>
      <c r="AJ242" s="25">
        <f t="shared" ref="AJ242:AJ257" si="65">IF($K242="수출",AF242*$X242/1000000,)</f>
        <v>0</v>
      </c>
      <c r="AK242" s="25">
        <f t="shared" ref="AK242:AK257" si="66">IF($K242="수출",AG242*$X242/1000000,)</f>
        <v>0</v>
      </c>
      <c r="BA242" s="34">
        <f t="shared" si="59"/>
        <v>20225372.0703125</v>
      </c>
      <c r="BB242" s="34">
        <f t="shared" si="60"/>
        <v>4177985.4033203125</v>
      </c>
      <c r="BC242" s="34">
        <f t="shared" si="61"/>
        <v>722229.75439453125</v>
      </c>
    </row>
    <row r="243" spans="2:55">
      <c r="B243" s="2" t="s">
        <v>66</v>
      </c>
      <c r="C243" s="2" t="s">
        <v>67</v>
      </c>
      <c r="D243" s="2" t="s">
        <v>81</v>
      </c>
      <c r="E243" s="2" t="s">
        <v>79</v>
      </c>
      <c r="F243" s="2" t="s">
        <v>68</v>
      </c>
      <c r="G243" s="2" t="s">
        <v>80</v>
      </c>
      <c r="H243" s="2" t="s">
        <v>117</v>
      </c>
      <c r="I243" s="2" t="s">
        <v>117</v>
      </c>
      <c r="J243" s="2" t="s">
        <v>117</v>
      </c>
      <c r="K243" s="2" t="s">
        <v>69</v>
      </c>
      <c r="L243" s="2" t="s">
        <v>97</v>
      </c>
      <c r="M243" s="2" t="s">
        <v>88</v>
      </c>
      <c r="N243" s="2" t="s">
        <v>118</v>
      </c>
      <c r="O243" s="2" t="s">
        <v>117</v>
      </c>
      <c r="P243" s="2" t="s">
        <v>111</v>
      </c>
      <c r="Q243" s="31" t="s">
        <v>132</v>
      </c>
      <c r="R243" s="2" t="s">
        <v>117</v>
      </c>
      <c r="S243" s="2" t="s">
        <v>120</v>
      </c>
      <c r="T243" s="20">
        <v>46204</v>
      </c>
      <c r="U243" s="32">
        <v>3</v>
      </c>
      <c r="V243" s="32">
        <v>2</v>
      </c>
      <c r="W243" s="22">
        <f t="shared" si="48"/>
        <v>1</v>
      </c>
      <c r="X243" s="22">
        <v>3708</v>
      </c>
      <c r="Y243" s="23">
        <f t="shared" si="49"/>
        <v>3849.4600924987794</v>
      </c>
      <c r="Z243" s="24">
        <f t="shared" si="50"/>
        <v>1038.1499710083008</v>
      </c>
      <c r="AA243" s="30">
        <v>876.719970703125</v>
      </c>
      <c r="AB243" s="30">
        <v>121.51000213623047</v>
      </c>
      <c r="AC243" s="30">
        <v>39.919998168945313</v>
      </c>
      <c r="AD243" s="25">
        <f t="shared" si="62"/>
        <v>0</v>
      </c>
      <c r="AE243" s="26">
        <f t="shared" si="52"/>
        <v>0</v>
      </c>
      <c r="AF243" s="26">
        <f t="shared" si="53"/>
        <v>0</v>
      </c>
      <c r="AG243" s="26">
        <f t="shared" si="54"/>
        <v>0</v>
      </c>
      <c r="AH243" s="25">
        <f t="shared" si="63"/>
        <v>0</v>
      </c>
      <c r="AI243" s="25">
        <f t="shared" si="64"/>
        <v>0</v>
      </c>
      <c r="AJ243" s="25">
        <f t="shared" si="65"/>
        <v>0</v>
      </c>
      <c r="AK243" s="25">
        <f t="shared" si="66"/>
        <v>0</v>
      </c>
      <c r="BA243" s="34">
        <f t="shared" si="59"/>
        <v>3250877.6513671875</v>
      </c>
      <c r="BB243" s="34">
        <f t="shared" si="60"/>
        <v>450559.08792114258</v>
      </c>
      <c r="BC243" s="34">
        <f t="shared" si="61"/>
        <v>148023.35321044922</v>
      </c>
    </row>
    <row r="244" spans="2:55">
      <c r="B244" s="2" t="s">
        <v>66</v>
      </c>
      <c r="C244" s="2" t="s">
        <v>67</v>
      </c>
      <c r="D244" s="2" t="s">
        <v>81</v>
      </c>
      <c r="E244" s="2" t="s">
        <v>79</v>
      </c>
      <c r="F244" s="2" t="s">
        <v>68</v>
      </c>
      <c r="G244" s="2" t="s">
        <v>80</v>
      </c>
      <c r="H244" s="2" t="s">
        <v>117</v>
      </c>
      <c r="I244" s="2" t="s">
        <v>117</v>
      </c>
      <c r="J244" s="2" t="s">
        <v>117</v>
      </c>
      <c r="K244" s="2" t="s">
        <v>69</v>
      </c>
      <c r="L244" s="2" t="s">
        <v>97</v>
      </c>
      <c r="M244" s="2" t="s">
        <v>88</v>
      </c>
      <c r="N244" s="2" t="s">
        <v>118</v>
      </c>
      <c r="O244" s="2" t="s">
        <v>117</v>
      </c>
      <c r="P244" s="2" t="s">
        <v>111</v>
      </c>
      <c r="Q244" s="31" t="s">
        <v>133</v>
      </c>
      <c r="R244" s="2" t="s">
        <v>117</v>
      </c>
      <c r="S244" s="2" t="s">
        <v>120</v>
      </c>
      <c r="T244" s="20">
        <v>46204</v>
      </c>
      <c r="U244" s="32">
        <v>3</v>
      </c>
      <c r="V244" s="32">
        <v>2</v>
      </c>
      <c r="W244" s="22">
        <f t="shared" si="48"/>
        <v>1</v>
      </c>
      <c r="X244" s="22">
        <v>23319</v>
      </c>
      <c r="Y244" s="23">
        <f t="shared" si="49"/>
        <v>17926.947240377427</v>
      </c>
      <c r="Z244" s="24">
        <f t="shared" si="50"/>
        <v>768.76998329162598</v>
      </c>
      <c r="AA244" s="30">
        <v>740.41998291015625</v>
      </c>
      <c r="AB244" s="30">
        <v>21.680000305175781</v>
      </c>
      <c r="AC244" s="30">
        <v>6.6700000762939453</v>
      </c>
      <c r="AD244" s="25">
        <f t="shared" si="62"/>
        <v>0</v>
      </c>
      <c r="AE244" s="26">
        <f t="shared" si="52"/>
        <v>0</v>
      </c>
      <c r="AF244" s="26">
        <f t="shared" si="53"/>
        <v>0</v>
      </c>
      <c r="AG244" s="26">
        <f t="shared" si="54"/>
        <v>0</v>
      </c>
      <c r="AH244" s="25">
        <f t="shared" si="63"/>
        <v>0</v>
      </c>
      <c r="AI244" s="25">
        <f t="shared" si="64"/>
        <v>0</v>
      </c>
      <c r="AJ244" s="25">
        <f t="shared" si="65"/>
        <v>0</v>
      </c>
      <c r="AK244" s="25">
        <f t="shared" si="66"/>
        <v>0</v>
      </c>
      <c r="BA244" s="34">
        <f t="shared" si="59"/>
        <v>17265853.581481934</v>
      </c>
      <c r="BB244" s="34">
        <f t="shared" si="60"/>
        <v>505555.92711639404</v>
      </c>
      <c r="BC244" s="34">
        <f t="shared" si="61"/>
        <v>155537.73177909851</v>
      </c>
    </row>
    <row r="245" spans="2:55">
      <c r="B245" s="2" t="s">
        <v>66</v>
      </c>
      <c r="C245" s="2" t="s">
        <v>67</v>
      </c>
      <c r="D245" s="2" t="s">
        <v>81</v>
      </c>
      <c r="E245" s="2" t="s">
        <v>79</v>
      </c>
      <c r="F245" s="2" t="s">
        <v>68</v>
      </c>
      <c r="G245" s="2" t="s">
        <v>80</v>
      </c>
      <c r="H245" s="2" t="s">
        <v>134</v>
      </c>
      <c r="I245" s="2" t="s">
        <v>117</v>
      </c>
      <c r="J245" s="2" t="s">
        <v>117</v>
      </c>
      <c r="K245" s="2" t="s">
        <v>69</v>
      </c>
      <c r="L245" s="2" t="s">
        <v>97</v>
      </c>
      <c r="M245" s="2" t="s">
        <v>88</v>
      </c>
      <c r="N245" s="2" t="s">
        <v>118</v>
      </c>
      <c r="O245" s="2" t="s">
        <v>117</v>
      </c>
      <c r="P245" s="2" t="s">
        <v>111</v>
      </c>
      <c r="Q245" s="31">
        <v>0</v>
      </c>
      <c r="R245" s="2" t="s">
        <v>117</v>
      </c>
      <c r="S245" s="2" t="s">
        <v>120</v>
      </c>
      <c r="T245" s="20">
        <v>46204</v>
      </c>
      <c r="U245" s="32">
        <v>3</v>
      </c>
      <c r="V245" s="32">
        <v>2</v>
      </c>
      <c r="W245" s="22">
        <f t="shared" si="48"/>
        <v>1</v>
      </c>
      <c r="X245" s="22">
        <v>35323</v>
      </c>
      <c r="Y245" s="23">
        <f t="shared" si="49"/>
        <v>54439.455534210203</v>
      </c>
      <c r="Z245" s="24">
        <f t="shared" si="50"/>
        <v>1541.1900329589844</v>
      </c>
      <c r="AA245" s="30">
        <v>1392.4100341796875</v>
      </c>
      <c r="AB245" s="30">
        <v>104</v>
      </c>
      <c r="AC245" s="30">
        <v>44.779998779296875</v>
      </c>
      <c r="AD245" s="25">
        <f t="shared" si="62"/>
        <v>0</v>
      </c>
      <c r="AE245" s="26">
        <f t="shared" si="52"/>
        <v>0</v>
      </c>
      <c r="AF245" s="26">
        <f t="shared" si="53"/>
        <v>0</v>
      </c>
      <c r="AG245" s="26">
        <f t="shared" si="54"/>
        <v>0</v>
      </c>
      <c r="AH245" s="25">
        <f t="shared" si="63"/>
        <v>0</v>
      </c>
      <c r="AI245" s="25">
        <f t="shared" si="64"/>
        <v>0</v>
      </c>
      <c r="AJ245" s="25">
        <f t="shared" si="65"/>
        <v>0</v>
      </c>
      <c r="AK245" s="25">
        <f t="shared" si="66"/>
        <v>0</v>
      </c>
      <c r="BA245" s="34">
        <f t="shared" si="59"/>
        <v>49184099.637329102</v>
      </c>
      <c r="BB245" s="34">
        <f t="shared" si="60"/>
        <v>3673592</v>
      </c>
      <c r="BC245" s="34">
        <f t="shared" si="61"/>
        <v>1581763.8968811035</v>
      </c>
    </row>
    <row r="246" spans="2:55">
      <c r="B246" s="2" t="s">
        <v>66</v>
      </c>
      <c r="C246" s="2" t="s">
        <v>67</v>
      </c>
      <c r="D246" s="2" t="s">
        <v>81</v>
      </c>
      <c r="E246" s="2" t="s">
        <v>79</v>
      </c>
      <c r="F246" s="2" t="s">
        <v>68</v>
      </c>
      <c r="G246" s="2" t="s">
        <v>80</v>
      </c>
      <c r="H246" s="2" t="s">
        <v>135</v>
      </c>
      <c r="I246" s="2" t="s">
        <v>117</v>
      </c>
      <c r="J246" s="2" t="s">
        <v>117</v>
      </c>
      <c r="K246" s="2" t="s">
        <v>69</v>
      </c>
      <c r="L246" s="2" t="s">
        <v>97</v>
      </c>
      <c r="M246" s="2" t="s">
        <v>88</v>
      </c>
      <c r="N246" s="2" t="s">
        <v>118</v>
      </c>
      <c r="O246" s="2" t="s">
        <v>117</v>
      </c>
      <c r="P246" s="2" t="s">
        <v>111</v>
      </c>
      <c r="Q246" s="31">
        <v>0</v>
      </c>
      <c r="R246" s="2" t="s">
        <v>117</v>
      </c>
      <c r="S246" s="2" t="s">
        <v>120</v>
      </c>
      <c r="T246" s="20">
        <v>46204</v>
      </c>
      <c r="U246" s="32">
        <v>3</v>
      </c>
      <c r="V246" s="32">
        <v>2</v>
      </c>
      <c r="W246" s="22">
        <f t="shared" si="48"/>
        <v>1</v>
      </c>
      <c r="X246" s="22">
        <v>9998</v>
      </c>
      <c r="Y246" s="23">
        <f t="shared" si="49"/>
        <v>12830.532843093395</v>
      </c>
      <c r="Z246" s="24">
        <f t="shared" si="50"/>
        <v>1283.3099462985992</v>
      </c>
      <c r="AA246" s="30">
        <v>1279.3199462890625</v>
      </c>
      <c r="AB246" s="30">
        <v>1.0299999713897705</v>
      </c>
      <c r="AC246" s="30">
        <v>2.9600000381469727</v>
      </c>
      <c r="AD246" s="25">
        <f t="shared" si="62"/>
        <v>0</v>
      </c>
      <c r="AE246" s="26">
        <f t="shared" si="52"/>
        <v>0</v>
      </c>
      <c r="AF246" s="26">
        <f t="shared" si="53"/>
        <v>0</v>
      </c>
      <c r="AG246" s="26">
        <f t="shared" si="54"/>
        <v>0</v>
      </c>
      <c r="AH246" s="25">
        <f t="shared" si="63"/>
        <v>0</v>
      </c>
      <c r="AI246" s="25">
        <f t="shared" si="64"/>
        <v>0</v>
      </c>
      <c r="AJ246" s="25">
        <f t="shared" si="65"/>
        <v>0</v>
      </c>
      <c r="AK246" s="25">
        <f t="shared" si="66"/>
        <v>0</v>
      </c>
      <c r="BA246" s="34">
        <f t="shared" si="59"/>
        <v>12790640.822998047</v>
      </c>
      <c r="BB246" s="34">
        <f t="shared" si="60"/>
        <v>10297.939713954926</v>
      </c>
      <c r="BC246" s="34">
        <f t="shared" si="61"/>
        <v>29594.080381393433</v>
      </c>
    </row>
    <row r="247" spans="2:55">
      <c r="B247" s="2" t="s">
        <v>66</v>
      </c>
      <c r="C247" s="2" t="s">
        <v>67</v>
      </c>
      <c r="D247" s="2" t="s">
        <v>81</v>
      </c>
      <c r="E247" s="33" t="s">
        <v>79</v>
      </c>
      <c r="F247" s="2" t="s">
        <v>68</v>
      </c>
      <c r="G247" s="2" t="s">
        <v>80</v>
      </c>
      <c r="H247" s="2" t="s">
        <v>117</v>
      </c>
      <c r="I247" s="2" t="s">
        <v>117</v>
      </c>
      <c r="J247" s="2" t="s">
        <v>117</v>
      </c>
      <c r="K247" s="2" t="s">
        <v>69</v>
      </c>
      <c r="L247" s="2" t="s">
        <v>97</v>
      </c>
      <c r="M247" s="2" t="s">
        <v>89</v>
      </c>
      <c r="N247" s="2" t="s">
        <v>119</v>
      </c>
      <c r="O247" s="2" t="s">
        <v>117</v>
      </c>
      <c r="P247" s="2" t="s">
        <v>111</v>
      </c>
      <c r="Q247" s="31" t="s">
        <v>131</v>
      </c>
      <c r="R247" s="2" t="s">
        <v>117</v>
      </c>
      <c r="S247" s="2" t="s">
        <v>120</v>
      </c>
      <c r="T247" s="20">
        <v>46204</v>
      </c>
      <c r="U247" s="32">
        <v>3</v>
      </c>
      <c r="V247" s="32">
        <v>2</v>
      </c>
      <c r="W247" s="22">
        <f t="shared" si="48"/>
        <v>1</v>
      </c>
      <c r="X247" s="22">
        <v>2437</v>
      </c>
      <c r="Y247" s="23">
        <f t="shared" si="49"/>
        <v>3148.2629051551817</v>
      </c>
      <c r="Z247" s="24">
        <f t="shared" si="50"/>
        <v>1291.860034942627</v>
      </c>
      <c r="AA247" s="30">
        <v>1216.6600341796875</v>
      </c>
      <c r="AB247" s="30">
        <v>25.299999237060547</v>
      </c>
      <c r="AC247" s="30">
        <v>49.900001525878906</v>
      </c>
      <c r="AD247" s="25">
        <f t="shared" si="62"/>
        <v>0</v>
      </c>
      <c r="AE247" s="26">
        <f t="shared" si="52"/>
        <v>0</v>
      </c>
      <c r="AF247" s="26">
        <f t="shared" si="53"/>
        <v>0</v>
      </c>
      <c r="AG247" s="26">
        <f t="shared" si="54"/>
        <v>0</v>
      </c>
      <c r="AH247" s="25">
        <f t="shared" si="63"/>
        <v>0</v>
      </c>
      <c r="AI247" s="25">
        <f t="shared" si="64"/>
        <v>0</v>
      </c>
      <c r="AJ247" s="25">
        <f t="shared" si="65"/>
        <v>0</v>
      </c>
      <c r="AK247" s="25">
        <f t="shared" si="66"/>
        <v>0</v>
      </c>
      <c r="BA247" s="34">
        <f t="shared" si="59"/>
        <v>2965000.5032958984</v>
      </c>
      <c r="BB247" s="34">
        <f t="shared" si="60"/>
        <v>61656.098140716553</v>
      </c>
      <c r="BC247" s="34">
        <f t="shared" si="61"/>
        <v>121606.30371856689</v>
      </c>
    </row>
    <row r="248" spans="2:55">
      <c r="B248" s="2" t="s">
        <v>66</v>
      </c>
      <c r="C248" s="2" t="s">
        <v>67</v>
      </c>
      <c r="D248" s="2" t="s">
        <v>81</v>
      </c>
      <c r="E248" s="33" t="s">
        <v>79</v>
      </c>
      <c r="F248" s="2" t="s">
        <v>68</v>
      </c>
      <c r="G248" s="2" t="s">
        <v>80</v>
      </c>
      <c r="H248" s="2" t="s">
        <v>117</v>
      </c>
      <c r="I248" s="2" t="s">
        <v>117</v>
      </c>
      <c r="J248" s="2" t="s">
        <v>117</v>
      </c>
      <c r="K248" s="2" t="s">
        <v>69</v>
      </c>
      <c r="L248" s="2" t="s">
        <v>97</v>
      </c>
      <c r="M248" s="2" t="s">
        <v>89</v>
      </c>
      <c r="N248" s="2" t="s">
        <v>119</v>
      </c>
      <c r="O248" s="2" t="s">
        <v>117</v>
      </c>
      <c r="P248" s="2" t="s">
        <v>111</v>
      </c>
      <c r="Q248" s="31" t="s">
        <v>132</v>
      </c>
      <c r="R248" s="2" t="s">
        <v>117</v>
      </c>
      <c r="S248" s="2" t="s">
        <v>120</v>
      </c>
      <c r="T248" s="20">
        <v>46204</v>
      </c>
      <c r="U248" s="32">
        <v>3</v>
      </c>
      <c r="V248" s="32">
        <v>2</v>
      </c>
      <c r="W248" s="22">
        <f t="shared" si="48"/>
        <v>1</v>
      </c>
      <c r="X248" s="22">
        <v>37704</v>
      </c>
      <c r="Y248" s="23">
        <f t="shared" si="49"/>
        <v>44680.747619201662</v>
      </c>
      <c r="Z248" s="24">
        <f t="shared" si="50"/>
        <v>1185.0399856567383</v>
      </c>
      <c r="AA248" s="30">
        <v>1041.3599853515625</v>
      </c>
      <c r="AB248" s="30">
        <v>67.790000915527344</v>
      </c>
      <c r="AC248" s="30">
        <v>75.889999389648438</v>
      </c>
      <c r="AD248" s="25">
        <f t="shared" si="62"/>
        <v>0</v>
      </c>
      <c r="AE248" s="26">
        <f t="shared" si="52"/>
        <v>0</v>
      </c>
      <c r="AF248" s="26">
        <f t="shared" si="53"/>
        <v>0</v>
      </c>
      <c r="AG248" s="26">
        <f t="shared" si="54"/>
        <v>0</v>
      </c>
      <c r="AH248" s="25">
        <f t="shared" si="63"/>
        <v>0</v>
      </c>
      <c r="AI248" s="25">
        <f t="shared" si="64"/>
        <v>0</v>
      </c>
      <c r="AJ248" s="25">
        <f t="shared" si="65"/>
        <v>0</v>
      </c>
      <c r="AK248" s="25">
        <f t="shared" si="66"/>
        <v>0</v>
      </c>
      <c r="BA248" s="34">
        <f t="shared" si="59"/>
        <v>39263436.887695313</v>
      </c>
      <c r="BB248" s="34">
        <f t="shared" si="60"/>
        <v>2555954.194519043</v>
      </c>
      <c r="BC248" s="34">
        <f t="shared" si="61"/>
        <v>2861356.5369873047</v>
      </c>
    </row>
    <row r="249" spans="2:55">
      <c r="B249" s="2" t="s">
        <v>66</v>
      </c>
      <c r="C249" s="2" t="s">
        <v>67</v>
      </c>
      <c r="D249" s="2" t="s">
        <v>81</v>
      </c>
      <c r="E249" s="2" t="s">
        <v>79</v>
      </c>
      <c r="F249" s="2" t="s">
        <v>68</v>
      </c>
      <c r="G249" s="2" t="s">
        <v>80</v>
      </c>
      <c r="H249" s="2" t="s">
        <v>117</v>
      </c>
      <c r="I249" s="2" t="s">
        <v>117</v>
      </c>
      <c r="J249" s="2" t="s">
        <v>117</v>
      </c>
      <c r="K249" s="2" t="s">
        <v>69</v>
      </c>
      <c r="L249" s="2" t="s">
        <v>97</v>
      </c>
      <c r="M249" s="2" t="s">
        <v>89</v>
      </c>
      <c r="N249" s="2" t="s">
        <v>119</v>
      </c>
      <c r="O249" s="2" t="s">
        <v>117</v>
      </c>
      <c r="P249" s="2" t="s">
        <v>111</v>
      </c>
      <c r="Q249" s="31" t="s">
        <v>133</v>
      </c>
      <c r="R249" s="2" t="s">
        <v>117</v>
      </c>
      <c r="S249" s="2" t="s">
        <v>120</v>
      </c>
      <c r="T249" s="20">
        <v>46204</v>
      </c>
      <c r="U249" s="32">
        <v>3</v>
      </c>
      <c r="V249" s="32">
        <v>2</v>
      </c>
      <c r="W249" s="22">
        <f t="shared" si="48"/>
        <v>1</v>
      </c>
      <c r="X249" s="22">
        <v>8491</v>
      </c>
      <c r="Y249" s="23">
        <f t="shared" si="49"/>
        <v>12523.545623476028</v>
      </c>
      <c r="Z249" s="24">
        <f t="shared" si="50"/>
        <v>1474.9199886322021</v>
      </c>
      <c r="AA249" s="30">
        <v>1384.239990234375</v>
      </c>
      <c r="AB249" s="30">
        <v>71.30999755859375</v>
      </c>
      <c r="AC249" s="30">
        <v>19.370000839233398</v>
      </c>
      <c r="AD249" s="25">
        <f t="shared" si="62"/>
        <v>0</v>
      </c>
      <c r="AE249" s="26">
        <f t="shared" si="52"/>
        <v>0</v>
      </c>
      <c r="AF249" s="26">
        <f t="shared" si="53"/>
        <v>0</v>
      </c>
      <c r="AG249" s="26">
        <f t="shared" si="54"/>
        <v>0</v>
      </c>
      <c r="AH249" s="25">
        <f t="shared" si="63"/>
        <v>0</v>
      </c>
      <c r="AI249" s="25">
        <f t="shared" si="64"/>
        <v>0</v>
      </c>
      <c r="AJ249" s="25">
        <f t="shared" si="65"/>
        <v>0</v>
      </c>
      <c r="AK249" s="25">
        <f t="shared" si="66"/>
        <v>0</v>
      </c>
      <c r="BA249" s="34">
        <f t="shared" si="59"/>
        <v>11753581.757080078</v>
      </c>
      <c r="BB249" s="34">
        <f t="shared" si="60"/>
        <v>605493.18927001953</v>
      </c>
      <c r="BC249" s="34">
        <f t="shared" si="61"/>
        <v>164470.67712593079</v>
      </c>
    </row>
    <row r="250" spans="2:55">
      <c r="B250" s="2" t="s">
        <v>66</v>
      </c>
      <c r="C250" s="2" t="s">
        <v>67</v>
      </c>
      <c r="D250" s="2" t="s">
        <v>81</v>
      </c>
      <c r="E250" s="2" t="s">
        <v>79</v>
      </c>
      <c r="F250" s="2" t="s">
        <v>68</v>
      </c>
      <c r="G250" s="2" t="s">
        <v>80</v>
      </c>
      <c r="H250" s="2" t="s">
        <v>134</v>
      </c>
      <c r="I250" s="2" t="s">
        <v>117</v>
      </c>
      <c r="J250" s="2" t="s">
        <v>117</v>
      </c>
      <c r="K250" s="2" t="s">
        <v>69</v>
      </c>
      <c r="L250" s="2" t="s">
        <v>97</v>
      </c>
      <c r="M250" s="2" t="s">
        <v>89</v>
      </c>
      <c r="N250" s="2" t="s">
        <v>119</v>
      </c>
      <c r="O250" s="2" t="s">
        <v>117</v>
      </c>
      <c r="P250" s="2" t="s">
        <v>111</v>
      </c>
      <c r="Q250" s="31">
        <v>0</v>
      </c>
      <c r="R250" s="2" t="s">
        <v>117</v>
      </c>
      <c r="S250" s="2" t="s">
        <v>120</v>
      </c>
      <c r="T250" s="20">
        <v>46204</v>
      </c>
      <c r="U250" s="32">
        <v>3</v>
      </c>
      <c r="V250" s="32">
        <v>2</v>
      </c>
      <c r="W250" s="22">
        <f t="shared" si="48"/>
        <v>1</v>
      </c>
      <c r="X250" s="22">
        <v>35272</v>
      </c>
      <c r="Y250" s="23">
        <f t="shared" si="49"/>
        <v>62430.735620269777</v>
      </c>
      <c r="Z250" s="24">
        <f t="shared" si="50"/>
        <v>1769.9800300598145</v>
      </c>
      <c r="AA250" s="30">
        <v>1472.5400390625</v>
      </c>
      <c r="AB250" s="30">
        <v>278.95999145507813</v>
      </c>
      <c r="AC250" s="30">
        <v>18.479999542236328</v>
      </c>
      <c r="AD250" s="25">
        <f t="shared" si="62"/>
        <v>0</v>
      </c>
      <c r="AE250" s="26">
        <f t="shared" si="52"/>
        <v>0</v>
      </c>
      <c r="AF250" s="26">
        <f t="shared" si="53"/>
        <v>0</v>
      </c>
      <c r="AG250" s="26">
        <f t="shared" si="54"/>
        <v>0</v>
      </c>
      <c r="AH250" s="25">
        <f t="shared" si="63"/>
        <v>0</v>
      </c>
      <c r="AI250" s="25">
        <f t="shared" si="64"/>
        <v>0</v>
      </c>
      <c r="AJ250" s="25">
        <f t="shared" si="65"/>
        <v>0</v>
      </c>
      <c r="AK250" s="25">
        <f t="shared" si="66"/>
        <v>0</v>
      </c>
      <c r="BA250" s="34">
        <f t="shared" si="59"/>
        <v>51939432.2578125</v>
      </c>
      <c r="BB250" s="34">
        <f t="shared" si="60"/>
        <v>9839476.8186035156</v>
      </c>
      <c r="BC250" s="34">
        <f t="shared" si="61"/>
        <v>651826.54385375977</v>
      </c>
    </row>
    <row r="251" spans="2:55">
      <c r="B251" s="2" t="s">
        <v>66</v>
      </c>
      <c r="C251" s="2" t="s">
        <v>67</v>
      </c>
      <c r="D251" s="2" t="s">
        <v>81</v>
      </c>
      <c r="E251" s="2" t="s">
        <v>79</v>
      </c>
      <c r="F251" s="2" t="s">
        <v>68</v>
      </c>
      <c r="G251" s="2" t="s">
        <v>80</v>
      </c>
      <c r="H251" s="2" t="s">
        <v>135</v>
      </c>
      <c r="I251" s="2" t="s">
        <v>117</v>
      </c>
      <c r="J251" s="2" t="s">
        <v>117</v>
      </c>
      <c r="K251" s="2" t="s">
        <v>69</v>
      </c>
      <c r="L251" s="2" t="s">
        <v>97</v>
      </c>
      <c r="M251" s="2" t="s">
        <v>89</v>
      </c>
      <c r="N251" s="2" t="s">
        <v>119</v>
      </c>
      <c r="O251" s="2" t="s">
        <v>117</v>
      </c>
      <c r="P251" s="2" t="s">
        <v>111</v>
      </c>
      <c r="Q251" s="31">
        <v>0</v>
      </c>
      <c r="R251" s="2" t="s">
        <v>117</v>
      </c>
      <c r="S251" s="2" t="s">
        <v>120</v>
      </c>
      <c r="T251" s="20">
        <v>46204</v>
      </c>
      <c r="U251" s="32">
        <v>3</v>
      </c>
      <c r="V251" s="32">
        <v>2</v>
      </c>
      <c r="W251" s="22">
        <f t="shared" si="48"/>
        <v>1</v>
      </c>
      <c r="X251" s="22">
        <v>38961</v>
      </c>
      <c r="Y251" s="23">
        <f t="shared" si="49"/>
        <v>59907.213818756107</v>
      </c>
      <c r="Z251" s="24">
        <f t="shared" si="50"/>
        <v>1537.6200256347656</v>
      </c>
      <c r="AA251" s="30">
        <v>1392.4000244140625</v>
      </c>
      <c r="AB251" s="30">
        <v>57.580001831054688</v>
      </c>
      <c r="AC251" s="30">
        <v>87.639999389648438</v>
      </c>
      <c r="AD251" s="25">
        <f t="shared" si="62"/>
        <v>0</v>
      </c>
      <c r="AE251" s="26">
        <f t="shared" si="52"/>
        <v>0</v>
      </c>
      <c r="AF251" s="26">
        <f t="shared" si="53"/>
        <v>0</v>
      </c>
      <c r="AG251" s="26">
        <f t="shared" si="54"/>
        <v>0</v>
      </c>
      <c r="AH251" s="25">
        <f t="shared" si="63"/>
        <v>0</v>
      </c>
      <c r="AI251" s="25">
        <f t="shared" si="64"/>
        <v>0</v>
      </c>
      <c r="AJ251" s="25">
        <f t="shared" si="65"/>
        <v>0</v>
      </c>
      <c r="AK251" s="25">
        <f t="shared" si="66"/>
        <v>0</v>
      </c>
      <c r="BA251" s="34">
        <f t="shared" si="59"/>
        <v>54249297.351196289</v>
      </c>
      <c r="BB251" s="34">
        <f t="shared" si="60"/>
        <v>2243374.4513397217</v>
      </c>
      <c r="BC251" s="34">
        <f t="shared" si="61"/>
        <v>3414542.0162200928</v>
      </c>
    </row>
    <row r="252" spans="2:55">
      <c r="B252" s="2" t="s">
        <v>66</v>
      </c>
      <c r="C252" s="2" t="s">
        <v>67</v>
      </c>
      <c r="D252" s="2" t="s">
        <v>81</v>
      </c>
      <c r="E252" s="2" t="s">
        <v>79</v>
      </c>
      <c r="F252" s="2" t="s">
        <v>68</v>
      </c>
      <c r="G252" s="2" t="s">
        <v>80</v>
      </c>
      <c r="H252" s="2" t="s">
        <v>117</v>
      </c>
      <c r="I252" s="2" t="s">
        <v>117</v>
      </c>
      <c r="J252" s="2" t="s">
        <v>117</v>
      </c>
      <c r="K252" s="2" t="s">
        <v>69</v>
      </c>
      <c r="L252" s="2" t="s">
        <v>98</v>
      </c>
      <c r="M252" s="2" t="s">
        <v>85</v>
      </c>
      <c r="N252" s="2" t="s">
        <v>112</v>
      </c>
      <c r="O252" s="2" t="s">
        <v>117</v>
      </c>
      <c r="P252" s="2" t="s">
        <v>111</v>
      </c>
      <c r="Q252" s="31">
        <v>0</v>
      </c>
      <c r="R252" s="2" t="s">
        <v>117</v>
      </c>
      <c r="S252" s="2" t="s">
        <v>120</v>
      </c>
      <c r="T252" s="20">
        <v>46204</v>
      </c>
      <c r="U252" s="32">
        <v>3</v>
      </c>
      <c r="V252" s="32">
        <v>2</v>
      </c>
      <c r="W252" s="22">
        <f t="shared" si="48"/>
        <v>1</v>
      </c>
      <c r="X252" s="22">
        <v>26067</v>
      </c>
      <c r="Y252" s="23">
        <f t="shared" si="49"/>
        <v>30410.544138404846</v>
      </c>
      <c r="Z252" s="24">
        <f t="shared" si="50"/>
        <v>1166.629997253418</v>
      </c>
      <c r="AA252" s="30">
        <v>1051.3699951171875</v>
      </c>
      <c r="AB252" s="30">
        <v>96.19000244140625</v>
      </c>
      <c r="AC252" s="30">
        <v>19.069999694824219</v>
      </c>
      <c r="AD252" s="25">
        <f t="shared" si="62"/>
        <v>0</v>
      </c>
      <c r="AE252" s="26">
        <f t="shared" si="52"/>
        <v>0</v>
      </c>
      <c r="AF252" s="26">
        <f t="shared" si="53"/>
        <v>0</v>
      </c>
      <c r="AG252" s="26">
        <f t="shared" si="54"/>
        <v>0</v>
      </c>
      <c r="AH252" s="25">
        <f t="shared" si="63"/>
        <v>0</v>
      </c>
      <c r="AI252" s="25">
        <f t="shared" si="64"/>
        <v>0</v>
      </c>
      <c r="AJ252" s="25">
        <f t="shared" si="65"/>
        <v>0</v>
      </c>
      <c r="AK252" s="25">
        <f t="shared" si="66"/>
        <v>0</v>
      </c>
      <c r="BA252" s="34">
        <f t="shared" si="59"/>
        <v>27406061.662719727</v>
      </c>
      <c r="BB252" s="34">
        <f t="shared" si="60"/>
        <v>2507384.7936401367</v>
      </c>
      <c r="BC252" s="34">
        <f t="shared" si="61"/>
        <v>497097.68204498291</v>
      </c>
    </row>
    <row r="253" spans="2:55">
      <c r="B253" s="2" t="s">
        <v>66</v>
      </c>
      <c r="C253" s="2" t="s">
        <v>67</v>
      </c>
      <c r="D253" s="2" t="s">
        <v>81</v>
      </c>
      <c r="E253" s="2" t="s">
        <v>79</v>
      </c>
      <c r="F253" s="2" t="s">
        <v>68</v>
      </c>
      <c r="G253" s="2" t="s">
        <v>80</v>
      </c>
      <c r="H253" s="2" t="s">
        <v>117</v>
      </c>
      <c r="I253" s="2" t="s">
        <v>117</v>
      </c>
      <c r="J253" s="2" t="s">
        <v>136</v>
      </c>
      <c r="K253" s="2" t="s">
        <v>69</v>
      </c>
      <c r="L253" s="2" t="s">
        <v>98</v>
      </c>
      <c r="M253" s="2" t="s">
        <v>85</v>
      </c>
      <c r="N253" s="2" t="s">
        <v>112</v>
      </c>
      <c r="O253" s="2" t="s">
        <v>117</v>
      </c>
      <c r="P253" s="2" t="s">
        <v>111</v>
      </c>
      <c r="Q253" s="31">
        <v>0</v>
      </c>
      <c r="R253" s="2" t="s">
        <v>117</v>
      </c>
      <c r="S253" s="2" t="s">
        <v>120</v>
      </c>
      <c r="T253" s="20">
        <v>46204</v>
      </c>
      <c r="U253" s="32">
        <v>3</v>
      </c>
      <c r="V253" s="32">
        <v>2</v>
      </c>
      <c r="W253" s="22">
        <f t="shared" si="48"/>
        <v>1</v>
      </c>
      <c r="X253" s="22">
        <v>36350</v>
      </c>
      <c r="Y253" s="23">
        <f t="shared" si="49"/>
        <v>50516.686523342134</v>
      </c>
      <c r="Z253" s="24">
        <f t="shared" si="50"/>
        <v>1389.7300281524658</v>
      </c>
      <c r="AA253" s="30">
        <v>1200.9100341796875</v>
      </c>
      <c r="AB253" s="30">
        <v>179.39999389648438</v>
      </c>
      <c r="AC253" s="30">
        <v>9.4200000762939453</v>
      </c>
      <c r="AD253" s="25">
        <f t="shared" si="62"/>
        <v>0</v>
      </c>
      <c r="AE253" s="26">
        <f t="shared" si="52"/>
        <v>0</v>
      </c>
      <c r="AF253" s="26">
        <f t="shared" si="53"/>
        <v>0</v>
      </c>
      <c r="AG253" s="26">
        <f t="shared" si="54"/>
        <v>0</v>
      </c>
      <c r="AH253" s="25">
        <f t="shared" si="63"/>
        <v>0</v>
      </c>
      <c r="AI253" s="25">
        <f t="shared" si="64"/>
        <v>0</v>
      </c>
      <c r="AJ253" s="25">
        <f t="shared" si="65"/>
        <v>0</v>
      </c>
      <c r="AK253" s="25">
        <f t="shared" si="66"/>
        <v>0</v>
      </c>
      <c r="BA253" s="34">
        <f t="shared" si="59"/>
        <v>43653079.742431641</v>
      </c>
      <c r="BB253" s="34">
        <f t="shared" si="60"/>
        <v>6521189.778137207</v>
      </c>
      <c r="BC253" s="34">
        <f t="shared" si="61"/>
        <v>342417.00277328491</v>
      </c>
    </row>
    <row r="254" spans="2:55">
      <c r="B254" s="2" t="s">
        <v>66</v>
      </c>
      <c r="C254" s="2" t="s">
        <v>67</v>
      </c>
      <c r="D254" s="2" t="s">
        <v>81</v>
      </c>
      <c r="E254" s="2" t="s">
        <v>79</v>
      </c>
      <c r="F254" s="2" t="s">
        <v>68</v>
      </c>
      <c r="G254" s="2" t="s">
        <v>80</v>
      </c>
      <c r="H254" s="2" t="s">
        <v>117</v>
      </c>
      <c r="I254" s="2" t="s">
        <v>117</v>
      </c>
      <c r="J254" s="2" t="s">
        <v>117</v>
      </c>
      <c r="K254" s="2" t="s">
        <v>69</v>
      </c>
      <c r="L254" s="2" t="s">
        <v>98</v>
      </c>
      <c r="M254" s="2" t="s">
        <v>86</v>
      </c>
      <c r="N254" s="2" t="s">
        <v>113</v>
      </c>
      <c r="O254" s="2" t="s">
        <v>117</v>
      </c>
      <c r="P254" s="2" t="s">
        <v>111</v>
      </c>
      <c r="Q254" s="31">
        <v>0</v>
      </c>
      <c r="R254" s="2" t="s">
        <v>117</v>
      </c>
      <c r="S254" s="2" t="s">
        <v>120</v>
      </c>
      <c r="T254" s="20">
        <v>46204</v>
      </c>
      <c r="U254" s="32">
        <v>3</v>
      </c>
      <c r="V254" s="32">
        <v>2</v>
      </c>
      <c r="W254" s="22">
        <f t="shared" si="48"/>
        <v>1</v>
      </c>
      <c r="X254" s="22">
        <v>2982</v>
      </c>
      <c r="Y254" s="23">
        <f t="shared" si="49"/>
        <v>4013.8614762668608</v>
      </c>
      <c r="Z254" s="24">
        <f t="shared" si="50"/>
        <v>1346.0300054550171</v>
      </c>
      <c r="AA254" s="30">
        <v>1298.8800048828125</v>
      </c>
      <c r="AB254" s="30">
        <v>35.860000610351563</v>
      </c>
      <c r="AC254" s="30">
        <v>11.289999961853027</v>
      </c>
      <c r="AD254" s="25">
        <f t="shared" si="62"/>
        <v>0</v>
      </c>
      <c r="AE254" s="26">
        <f t="shared" si="52"/>
        <v>0</v>
      </c>
      <c r="AF254" s="26">
        <f t="shared" si="53"/>
        <v>0</v>
      </c>
      <c r="AG254" s="26">
        <f t="shared" si="54"/>
        <v>0</v>
      </c>
      <c r="AH254" s="25">
        <f t="shared" si="63"/>
        <v>0</v>
      </c>
      <c r="AI254" s="25">
        <f t="shared" si="64"/>
        <v>0</v>
      </c>
      <c r="AJ254" s="25">
        <f t="shared" si="65"/>
        <v>0</v>
      </c>
      <c r="AK254" s="25">
        <f t="shared" si="66"/>
        <v>0</v>
      </c>
      <c r="BA254" s="34">
        <f t="shared" si="59"/>
        <v>3873260.1745605469</v>
      </c>
      <c r="BB254" s="34">
        <f t="shared" si="60"/>
        <v>106934.52182006836</v>
      </c>
      <c r="BC254" s="34">
        <f t="shared" si="61"/>
        <v>33666.779886245728</v>
      </c>
    </row>
    <row r="255" spans="2:55">
      <c r="B255" s="2" t="s">
        <v>66</v>
      </c>
      <c r="C255" s="2" t="s">
        <v>67</v>
      </c>
      <c r="D255" s="2" t="s">
        <v>81</v>
      </c>
      <c r="E255" s="2" t="s">
        <v>79</v>
      </c>
      <c r="F255" s="2" t="s">
        <v>68</v>
      </c>
      <c r="G255" s="2" t="s">
        <v>80</v>
      </c>
      <c r="H255" s="2" t="s">
        <v>137</v>
      </c>
      <c r="I255" s="2" t="s">
        <v>117</v>
      </c>
      <c r="J255" s="2" t="s">
        <v>117</v>
      </c>
      <c r="K255" s="2" t="s">
        <v>69</v>
      </c>
      <c r="L255" s="2" t="s">
        <v>98</v>
      </c>
      <c r="M255" s="2" t="s">
        <v>86</v>
      </c>
      <c r="N255" s="2" t="s">
        <v>113</v>
      </c>
      <c r="O255" s="2" t="s">
        <v>117</v>
      </c>
      <c r="P255" s="2" t="s">
        <v>111</v>
      </c>
      <c r="Q255" s="31">
        <v>0</v>
      </c>
      <c r="R255" s="2" t="s">
        <v>117</v>
      </c>
      <c r="S255" s="2" t="s">
        <v>120</v>
      </c>
      <c r="T255" s="20">
        <v>46204</v>
      </c>
      <c r="U255" s="32">
        <v>3</v>
      </c>
      <c r="V255" s="32">
        <v>2</v>
      </c>
      <c r="W255" s="22">
        <f t="shared" si="48"/>
        <v>1</v>
      </c>
      <c r="X255" s="22">
        <v>25196</v>
      </c>
      <c r="Y255" s="23">
        <f t="shared" si="49"/>
        <v>27552.833310405731</v>
      </c>
      <c r="Z255" s="24">
        <f t="shared" si="50"/>
        <v>1093.5399789810181</v>
      </c>
      <c r="AA255" s="30">
        <v>822.04998779296875</v>
      </c>
      <c r="AB255" s="30">
        <v>261.70999145507813</v>
      </c>
      <c r="AC255" s="30">
        <v>9.7799997329711914</v>
      </c>
      <c r="AD255" s="25">
        <f t="shared" si="62"/>
        <v>0</v>
      </c>
      <c r="AE255" s="26">
        <f t="shared" si="52"/>
        <v>0</v>
      </c>
      <c r="AF255" s="26">
        <f t="shared" si="53"/>
        <v>0</v>
      </c>
      <c r="AG255" s="26">
        <f t="shared" si="54"/>
        <v>0</v>
      </c>
      <c r="AH255" s="25">
        <f t="shared" si="63"/>
        <v>0</v>
      </c>
      <c r="AI255" s="25">
        <f t="shared" si="64"/>
        <v>0</v>
      </c>
      <c r="AJ255" s="25">
        <f t="shared" si="65"/>
        <v>0</v>
      </c>
      <c r="AK255" s="25">
        <f t="shared" si="66"/>
        <v>0</v>
      </c>
      <c r="BA255" s="34">
        <f t="shared" si="59"/>
        <v>20712371.492431641</v>
      </c>
      <c r="BB255" s="34">
        <f t="shared" si="60"/>
        <v>6594044.9447021484</v>
      </c>
      <c r="BC255" s="34">
        <f t="shared" si="61"/>
        <v>246416.87327194214</v>
      </c>
    </row>
    <row r="256" spans="2:55">
      <c r="B256" s="2" t="s">
        <v>66</v>
      </c>
      <c r="C256" s="2" t="s">
        <v>67</v>
      </c>
      <c r="D256" s="2" t="s">
        <v>81</v>
      </c>
      <c r="E256" s="2" t="s">
        <v>79</v>
      </c>
      <c r="F256" s="2" t="s">
        <v>68</v>
      </c>
      <c r="G256" s="2" t="s">
        <v>80</v>
      </c>
      <c r="H256" s="2" t="s">
        <v>117</v>
      </c>
      <c r="I256" s="2" t="s">
        <v>117</v>
      </c>
      <c r="J256" s="2" t="s">
        <v>117</v>
      </c>
      <c r="K256" s="2" t="s">
        <v>69</v>
      </c>
      <c r="L256" s="2" t="s">
        <v>98</v>
      </c>
      <c r="M256" s="2" t="s">
        <v>86</v>
      </c>
      <c r="N256" s="2" t="s">
        <v>114</v>
      </c>
      <c r="O256" s="2" t="s">
        <v>117</v>
      </c>
      <c r="P256" s="2" t="s">
        <v>111</v>
      </c>
      <c r="Q256" s="31">
        <v>0</v>
      </c>
      <c r="R256" s="2" t="s">
        <v>117</v>
      </c>
      <c r="S256" s="2" t="s">
        <v>120</v>
      </c>
      <c r="T256" s="20">
        <v>46204</v>
      </c>
      <c r="U256" s="32">
        <v>3</v>
      </c>
      <c r="V256" s="32">
        <v>2</v>
      </c>
      <c r="W256" s="22">
        <f t="shared" si="48"/>
        <v>1</v>
      </c>
      <c r="X256" s="22">
        <v>3446</v>
      </c>
      <c r="Y256" s="23">
        <f t="shared" si="49"/>
        <v>2969.3493402061463</v>
      </c>
      <c r="Z256" s="24">
        <f t="shared" si="50"/>
        <v>861.68001747131348</v>
      </c>
      <c r="AA256" s="30">
        <v>818.58001708984375</v>
      </c>
      <c r="AB256" s="30">
        <v>19</v>
      </c>
      <c r="AC256" s="30">
        <v>24.100000381469727</v>
      </c>
      <c r="AD256" s="25">
        <f t="shared" si="62"/>
        <v>0</v>
      </c>
      <c r="AE256" s="26">
        <f t="shared" si="52"/>
        <v>0</v>
      </c>
      <c r="AF256" s="26">
        <f t="shared" si="53"/>
        <v>0</v>
      </c>
      <c r="AG256" s="26">
        <f t="shared" si="54"/>
        <v>0</v>
      </c>
      <c r="AH256" s="25">
        <f t="shared" si="63"/>
        <v>0</v>
      </c>
      <c r="AI256" s="25">
        <f t="shared" si="64"/>
        <v>0</v>
      </c>
      <c r="AJ256" s="25">
        <f t="shared" si="65"/>
        <v>0</v>
      </c>
      <c r="AK256" s="25">
        <f t="shared" si="66"/>
        <v>0</v>
      </c>
      <c r="BA256" s="34">
        <f t="shared" si="59"/>
        <v>2820826.7388916016</v>
      </c>
      <c r="BB256" s="34">
        <f t="shared" si="60"/>
        <v>65474</v>
      </c>
      <c r="BC256" s="34">
        <f t="shared" si="61"/>
        <v>83048.601314544678</v>
      </c>
    </row>
    <row r="257" spans="2:55">
      <c r="B257" s="2" t="s">
        <v>66</v>
      </c>
      <c r="C257" s="2" t="s">
        <v>67</v>
      </c>
      <c r="D257" s="2" t="s">
        <v>81</v>
      </c>
      <c r="E257" s="2" t="s">
        <v>79</v>
      </c>
      <c r="F257" s="2" t="s">
        <v>68</v>
      </c>
      <c r="G257" s="2" t="s">
        <v>80</v>
      </c>
      <c r="H257" s="2" t="s">
        <v>117</v>
      </c>
      <c r="I257" s="2" t="s">
        <v>117</v>
      </c>
      <c r="J257" s="2" t="s">
        <v>117</v>
      </c>
      <c r="K257" s="2" t="s">
        <v>69</v>
      </c>
      <c r="L257" s="2" t="s">
        <v>98</v>
      </c>
      <c r="M257" s="2" t="s">
        <v>86</v>
      </c>
      <c r="N257" s="2" t="s">
        <v>138</v>
      </c>
      <c r="O257" s="2" t="s">
        <v>117</v>
      </c>
      <c r="P257" s="2" t="s">
        <v>111</v>
      </c>
      <c r="Q257" s="31">
        <v>0</v>
      </c>
      <c r="R257" s="2" t="s">
        <v>117</v>
      </c>
      <c r="S257" s="2" t="s">
        <v>120</v>
      </c>
      <c r="T257" s="20">
        <v>46204</v>
      </c>
      <c r="U257" s="32">
        <v>3</v>
      </c>
      <c r="V257" s="32">
        <v>2</v>
      </c>
      <c r="W257" s="22">
        <f t="shared" si="48"/>
        <v>1</v>
      </c>
      <c r="X257" s="22">
        <v>37064</v>
      </c>
      <c r="Y257" s="23">
        <f t="shared" si="49"/>
        <v>37575.112593933103</v>
      </c>
      <c r="Z257" s="24">
        <f t="shared" si="50"/>
        <v>1013.7900009155273</v>
      </c>
      <c r="AA257" s="30">
        <v>770.57000732421875</v>
      </c>
      <c r="AB257" s="30">
        <v>209.14999389648438</v>
      </c>
      <c r="AC257" s="30">
        <v>34.069999694824219</v>
      </c>
      <c r="AD257" s="25">
        <f t="shared" si="62"/>
        <v>0</v>
      </c>
      <c r="AE257" s="26">
        <f t="shared" si="52"/>
        <v>0</v>
      </c>
      <c r="AF257" s="26">
        <f t="shared" si="53"/>
        <v>0</v>
      </c>
      <c r="AG257" s="26">
        <f t="shared" si="54"/>
        <v>0</v>
      </c>
      <c r="AH257" s="25">
        <f t="shared" si="63"/>
        <v>0</v>
      </c>
      <c r="AI257" s="25">
        <f t="shared" si="64"/>
        <v>0</v>
      </c>
      <c r="AJ257" s="25">
        <f t="shared" si="65"/>
        <v>0</v>
      </c>
      <c r="AK257" s="25">
        <f t="shared" si="66"/>
        <v>0</v>
      </c>
      <c r="BA257" s="34">
        <f t="shared" si="59"/>
        <v>28560406.751464844</v>
      </c>
      <c r="BB257" s="34">
        <f t="shared" si="60"/>
        <v>7751935.3737792969</v>
      </c>
      <c r="BC257" s="34">
        <f t="shared" si="61"/>
        <v>1262770.4686889648</v>
      </c>
    </row>
    <row r="258" spans="2:55">
      <c r="B258" s="2" t="s">
        <v>129</v>
      </c>
      <c r="C258" s="2" t="s">
        <v>130</v>
      </c>
      <c r="D258" s="2" t="s">
        <v>81</v>
      </c>
      <c r="E258" s="33" t="s">
        <v>79</v>
      </c>
      <c r="F258" s="2" t="s">
        <v>68</v>
      </c>
      <c r="G258" s="28" t="s">
        <v>80</v>
      </c>
      <c r="H258" s="2" t="s">
        <v>117</v>
      </c>
      <c r="I258" s="2" t="s">
        <v>117</v>
      </c>
      <c r="J258" s="2" t="s">
        <v>117</v>
      </c>
      <c r="K258" s="2" t="s">
        <v>69</v>
      </c>
      <c r="L258" s="2" t="s">
        <v>127</v>
      </c>
      <c r="M258" s="2" t="s">
        <v>123</v>
      </c>
      <c r="N258" s="2" t="s">
        <v>115</v>
      </c>
      <c r="O258" s="2" t="s">
        <v>117</v>
      </c>
      <c r="P258" s="2" t="s">
        <v>111</v>
      </c>
      <c r="Q258" s="31"/>
      <c r="R258" s="2" t="s">
        <v>117</v>
      </c>
      <c r="S258" s="2" t="s">
        <v>120</v>
      </c>
      <c r="T258" s="20">
        <v>46204</v>
      </c>
      <c r="U258" s="32">
        <v>1</v>
      </c>
      <c r="V258" s="32">
        <v>1</v>
      </c>
      <c r="W258" s="22">
        <f t="shared" si="48"/>
        <v>1</v>
      </c>
      <c r="X258" s="22">
        <v>34415</v>
      </c>
      <c r="Y258" s="23">
        <f t="shared" si="49"/>
        <v>50232.133619279863</v>
      </c>
      <c r="Z258" s="24">
        <f t="shared" si="50"/>
        <v>1459.5999889373779</v>
      </c>
      <c r="AA258" s="30">
        <v>1306.489990234375</v>
      </c>
      <c r="AB258" s="30">
        <v>121.34999847412109</v>
      </c>
      <c r="AC258" s="30">
        <v>31.760000228881836</v>
      </c>
      <c r="AD258" s="25">
        <f t="shared" ref="AD258" si="67">AE258+AF258+AG258</f>
        <v>0</v>
      </c>
      <c r="AE258" s="26">
        <f t="shared" si="52"/>
        <v>0</v>
      </c>
      <c r="AF258" s="26">
        <f t="shared" si="53"/>
        <v>0</v>
      </c>
      <c r="AG258" s="26">
        <f t="shared" si="54"/>
        <v>0</v>
      </c>
      <c r="AH258" s="25">
        <f t="shared" ref="AH258" si="68">IF($K258="수출",AD258*$X258/1000000,)</f>
        <v>0</v>
      </c>
      <c r="AI258" s="25">
        <f t="shared" ref="AI258" si="69">IF($K258="수출",AE258*$X258/1000000,)</f>
        <v>0</v>
      </c>
      <c r="AJ258" s="25">
        <f t="shared" ref="AJ258" si="70">IF($K258="수출",AF258*$X258/1000000,)</f>
        <v>0</v>
      </c>
      <c r="AK258" s="25">
        <f t="shared" ref="AK258" si="71">IF($K258="수출",AG258*$X258/1000000,)</f>
        <v>0</v>
      </c>
      <c r="BA258" s="34">
        <f t="shared" si="59"/>
        <v>44962853.013916016</v>
      </c>
      <c r="BB258" s="34">
        <f t="shared" si="60"/>
        <v>4176260.1974868774</v>
      </c>
      <c r="BC258" s="34">
        <f t="shared" si="61"/>
        <v>1093020.4078769684</v>
      </c>
    </row>
    <row r="259" spans="2:55">
      <c r="B259" s="2" t="s">
        <v>66</v>
      </c>
      <c r="C259" s="2" t="s">
        <v>67</v>
      </c>
      <c r="D259" s="2" t="s">
        <v>81</v>
      </c>
      <c r="E259" s="33" t="s">
        <v>79</v>
      </c>
      <c r="F259" s="2" t="s">
        <v>68</v>
      </c>
      <c r="G259" s="2" t="s">
        <v>80</v>
      </c>
      <c r="H259" s="2" t="s">
        <v>117</v>
      </c>
      <c r="I259" s="2" t="s">
        <v>117</v>
      </c>
      <c r="J259" s="2" t="s">
        <v>117</v>
      </c>
      <c r="K259" s="2" t="s">
        <v>69</v>
      </c>
      <c r="L259" s="2" t="s">
        <v>98</v>
      </c>
      <c r="M259" s="2" t="s">
        <v>87</v>
      </c>
      <c r="N259" s="2" t="s">
        <v>115</v>
      </c>
      <c r="O259" s="2" t="s">
        <v>117</v>
      </c>
      <c r="P259" s="2" t="s">
        <v>110</v>
      </c>
      <c r="Q259" s="31">
        <v>0</v>
      </c>
      <c r="R259" s="2" t="s">
        <v>117</v>
      </c>
      <c r="S259" s="2" t="s">
        <v>120</v>
      </c>
      <c r="T259" s="20">
        <v>46204</v>
      </c>
      <c r="U259" s="32">
        <v>3</v>
      </c>
      <c r="V259" s="32">
        <v>2</v>
      </c>
      <c r="W259" s="22">
        <f t="shared" si="48"/>
        <v>1</v>
      </c>
      <c r="X259" s="22">
        <v>35554</v>
      </c>
      <c r="Y259" s="23">
        <f t="shared" si="49"/>
        <v>36185.082957489016</v>
      </c>
      <c r="Z259" s="24">
        <f t="shared" si="50"/>
        <v>1017.7499847412109</v>
      </c>
      <c r="AA259" s="30">
        <v>763.739990234375</v>
      </c>
      <c r="AB259" s="30">
        <v>156.03999328613281</v>
      </c>
      <c r="AC259" s="30">
        <v>97.970001220703125</v>
      </c>
      <c r="AD259" s="25">
        <f t="shared" ref="AD259:AD282" si="72">AE259+AF259+AG259</f>
        <v>0</v>
      </c>
      <c r="AE259" s="26">
        <f t="shared" si="52"/>
        <v>0</v>
      </c>
      <c r="AF259" s="26">
        <f t="shared" si="53"/>
        <v>0</v>
      </c>
      <c r="AG259" s="26">
        <f t="shared" si="54"/>
        <v>0</v>
      </c>
      <c r="AH259" s="25">
        <f t="shared" ref="AH259:AH282" si="73">IF($K259="수출",AD259*$X259/1000000,)</f>
        <v>0</v>
      </c>
      <c r="AI259" s="25">
        <f t="shared" ref="AI259:AI282" si="74">IF($K259="수출",AE259*$X259/1000000,)</f>
        <v>0</v>
      </c>
      <c r="AJ259" s="25">
        <f t="shared" ref="AJ259:AJ282" si="75">IF($K259="수출",AF259*$X259/1000000,)</f>
        <v>0</v>
      </c>
      <c r="AK259" s="25">
        <f t="shared" ref="AK259:AK282" si="76">IF($K259="수출",AG259*$X259/1000000,)</f>
        <v>0</v>
      </c>
      <c r="BA259" s="34">
        <f t="shared" si="59"/>
        <v>27154011.612792969</v>
      </c>
      <c r="BB259" s="34">
        <f t="shared" si="60"/>
        <v>5547845.921295166</v>
      </c>
      <c r="BC259" s="34">
        <f t="shared" si="61"/>
        <v>3483225.4234008789</v>
      </c>
    </row>
    <row r="260" spans="2:55">
      <c r="B260" s="2" t="s">
        <v>66</v>
      </c>
      <c r="C260" s="2" t="s">
        <v>67</v>
      </c>
      <c r="D260" s="2" t="s">
        <v>81</v>
      </c>
      <c r="E260" s="33" t="s">
        <v>79</v>
      </c>
      <c r="F260" s="2" t="s">
        <v>68</v>
      </c>
      <c r="G260" s="2" t="s">
        <v>80</v>
      </c>
      <c r="H260" s="2" t="s">
        <v>117</v>
      </c>
      <c r="I260" s="2" t="s">
        <v>117</v>
      </c>
      <c r="J260" s="2" t="s">
        <v>117</v>
      </c>
      <c r="K260" s="2" t="s">
        <v>82</v>
      </c>
      <c r="L260" s="2" t="s">
        <v>99</v>
      </c>
      <c r="M260" s="2" t="s">
        <v>92</v>
      </c>
      <c r="N260" s="2" t="s">
        <v>115</v>
      </c>
      <c r="O260" s="2" t="s">
        <v>117</v>
      </c>
      <c r="P260" s="2" t="s">
        <v>110</v>
      </c>
      <c r="Q260" s="31">
        <v>0</v>
      </c>
      <c r="R260" s="2" t="s">
        <v>117</v>
      </c>
      <c r="S260" s="2" t="s">
        <v>107</v>
      </c>
      <c r="T260" s="20">
        <v>46204</v>
      </c>
      <c r="U260" s="32">
        <v>3</v>
      </c>
      <c r="V260" s="32">
        <v>2</v>
      </c>
      <c r="W260" s="22">
        <f t="shared" si="48"/>
        <v>1300</v>
      </c>
      <c r="X260" s="22">
        <v>46380</v>
      </c>
      <c r="Y260" s="23">
        <f t="shared" si="49"/>
        <v>73664.88950158596</v>
      </c>
      <c r="Z260" s="24">
        <f t="shared" si="50"/>
        <v>1588.2899849414825</v>
      </c>
      <c r="AA260" s="30">
        <v>1461.1099853515625</v>
      </c>
      <c r="AB260" s="30">
        <v>123.31999969482422</v>
      </c>
      <c r="AC260" s="30">
        <v>3.8599998950958252</v>
      </c>
      <c r="AD260" s="25">
        <f t="shared" si="72"/>
        <v>1221.7615268780635</v>
      </c>
      <c r="AE260" s="26">
        <v>1218.7922961895283</v>
      </c>
      <c r="AF260" s="26">
        <v>2.9692306885352502</v>
      </c>
      <c r="AG260" s="26">
        <v>0</v>
      </c>
      <c r="AH260" s="25">
        <f t="shared" si="73"/>
        <v>56.665299616604578</v>
      </c>
      <c r="AI260" s="25">
        <f t="shared" si="74"/>
        <v>56.52758669727033</v>
      </c>
      <c r="AJ260" s="25">
        <f t="shared" si="75"/>
        <v>0.13771291933426491</v>
      </c>
      <c r="AK260" s="25">
        <f t="shared" si="76"/>
        <v>0</v>
      </c>
      <c r="BA260" s="34">
        <f t="shared" si="59"/>
        <v>67766281.120605469</v>
      </c>
      <c r="BB260" s="34">
        <f t="shared" si="60"/>
        <v>5719581.5858459473</v>
      </c>
      <c r="BC260" s="34">
        <f t="shared" si="61"/>
        <v>179026.79513454437</v>
      </c>
    </row>
    <row r="261" spans="2:55">
      <c r="B261" s="2" t="s">
        <v>66</v>
      </c>
      <c r="C261" s="2" t="s">
        <v>67</v>
      </c>
      <c r="D261" s="2" t="s">
        <v>81</v>
      </c>
      <c r="E261" s="2" t="s">
        <v>79</v>
      </c>
      <c r="F261" s="2" t="s">
        <v>68</v>
      </c>
      <c r="G261" s="2" t="s">
        <v>80</v>
      </c>
      <c r="H261" s="2" t="s">
        <v>117</v>
      </c>
      <c r="I261" s="2" t="s">
        <v>117</v>
      </c>
      <c r="J261" s="2" t="s">
        <v>117</v>
      </c>
      <c r="K261" s="2" t="s">
        <v>82</v>
      </c>
      <c r="L261" s="2" t="s">
        <v>99</v>
      </c>
      <c r="M261" s="2" t="s">
        <v>90</v>
      </c>
      <c r="N261" s="2" t="s">
        <v>115</v>
      </c>
      <c r="O261" s="2" t="s">
        <v>117</v>
      </c>
      <c r="P261" s="2" t="s">
        <v>111</v>
      </c>
      <c r="Q261" s="31">
        <v>0</v>
      </c>
      <c r="R261" s="2" t="s">
        <v>117</v>
      </c>
      <c r="S261" s="2" t="s">
        <v>101</v>
      </c>
      <c r="T261" s="20">
        <v>46204</v>
      </c>
      <c r="U261" s="32">
        <v>3</v>
      </c>
      <c r="V261" s="32">
        <v>2</v>
      </c>
      <c r="W261" s="22">
        <f t="shared" si="48"/>
        <v>1300</v>
      </c>
      <c r="X261" s="22">
        <v>40296</v>
      </c>
      <c r="Y261" s="23">
        <f t="shared" si="49"/>
        <v>43325.453522872922</v>
      </c>
      <c r="Z261" s="24">
        <f t="shared" si="50"/>
        <v>1075.1800060272217</v>
      </c>
      <c r="AA261" s="30">
        <v>1021.3200073242188</v>
      </c>
      <c r="AB261" s="30">
        <v>16.399999618530273</v>
      </c>
      <c r="AC261" s="30">
        <v>37.459999084472656</v>
      </c>
      <c r="AD261" s="25">
        <f t="shared" si="72"/>
        <v>827.06154309786268</v>
      </c>
      <c r="AE261" s="26">
        <v>532.16410612448658</v>
      </c>
      <c r="AF261" s="26">
        <v>28.815383911132813</v>
      </c>
      <c r="AG261" s="26">
        <v>266.08205306224329</v>
      </c>
      <c r="AH261" s="25">
        <f t="shared" si="73"/>
        <v>33.327271940671473</v>
      </c>
      <c r="AI261" s="25">
        <f t="shared" si="74"/>
        <v>21.444084820392309</v>
      </c>
      <c r="AJ261" s="25">
        <f t="shared" si="75"/>
        <v>1.1611447100830079</v>
      </c>
      <c r="AK261" s="25">
        <f t="shared" si="76"/>
        <v>10.722042410196154</v>
      </c>
      <c r="BA261" s="34">
        <f t="shared" si="59"/>
        <v>41155111.015136719</v>
      </c>
      <c r="BB261" s="34">
        <f t="shared" si="60"/>
        <v>660854.3846282959</v>
      </c>
      <c r="BC261" s="34">
        <f t="shared" si="61"/>
        <v>1509488.1231079102</v>
      </c>
    </row>
    <row r="262" spans="2:55">
      <c r="B262" s="2" t="s">
        <v>66</v>
      </c>
      <c r="C262" s="2" t="s">
        <v>67</v>
      </c>
      <c r="D262" s="2" t="s">
        <v>81</v>
      </c>
      <c r="E262" s="2" t="s">
        <v>79</v>
      </c>
      <c r="F262" s="2" t="s">
        <v>68</v>
      </c>
      <c r="G262" s="2" t="s">
        <v>80</v>
      </c>
      <c r="H262" s="2" t="s">
        <v>117</v>
      </c>
      <c r="I262" s="2" t="s">
        <v>117</v>
      </c>
      <c r="J262" s="2" t="s">
        <v>117</v>
      </c>
      <c r="K262" s="2" t="s">
        <v>82</v>
      </c>
      <c r="L262" s="2" t="s">
        <v>99</v>
      </c>
      <c r="M262" s="2" t="s">
        <v>90</v>
      </c>
      <c r="N262" s="2" t="s">
        <v>115</v>
      </c>
      <c r="O262" s="2" t="s">
        <v>117</v>
      </c>
      <c r="P262" s="2" t="s">
        <v>111</v>
      </c>
      <c r="Q262" s="31">
        <v>0</v>
      </c>
      <c r="R262" s="2" t="s">
        <v>117</v>
      </c>
      <c r="S262" s="2" t="s">
        <v>102</v>
      </c>
      <c r="T262" s="20">
        <v>46204</v>
      </c>
      <c r="U262" s="32">
        <v>3</v>
      </c>
      <c r="V262" s="32">
        <v>2</v>
      </c>
      <c r="W262" s="22">
        <f t="shared" si="48"/>
        <v>1300</v>
      </c>
      <c r="X262" s="22">
        <v>13361</v>
      </c>
      <c r="Y262" s="23">
        <f t="shared" si="49"/>
        <v>24033.766534965514</v>
      </c>
      <c r="Z262" s="24">
        <f t="shared" si="50"/>
        <v>1798.7999801635742</v>
      </c>
      <c r="AA262" s="30">
        <v>1483.47998046875</v>
      </c>
      <c r="AB262" s="30">
        <v>260.02999877929688</v>
      </c>
      <c r="AC262" s="30">
        <v>55.290000915527344</v>
      </c>
      <c r="AD262" s="25">
        <f t="shared" si="72"/>
        <v>1383.6922924335186</v>
      </c>
      <c r="AE262" s="26">
        <v>1341.1615224984976</v>
      </c>
      <c r="AF262" s="26">
        <v>42.530769935021034</v>
      </c>
      <c r="AG262" s="26">
        <v>0</v>
      </c>
      <c r="AH262" s="25">
        <f t="shared" si="73"/>
        <v>18.487512719204243</v>
      </c>
      <c r="AI262" s="25">
        <f t="shared" si="74"/>
        <v>17.919259102102426</v>
      </c>
      <c r="AJ262" s="25">
        <f t="shared" si="75"/>
        <v>0.56825361710181599</v>
      </c>
      <c r="AK262" s="25">
        <f t="shared" si="76"/>
        <v>0</v>
      </c>
      <c r="BA262" s="34">
        <f t="shared" si="59"/>
        <v>19820776.019042969</v>
      </c>
      <c r="BB262" s="34">
        <f t="shared" si="60"/>
        <v>3474260.8136901855</v>
      </c>
      <c r="BC262" s="34">
        <f t="shared" si="61"/>
        <v>738729.70223236084</v>
      </c>
    </row>
    <row r="263" spans="2:55">
      <c r="B263" s="2" t="s">
        <v>66</v>
      </c>
      <c r="C263" s="2" t="s">
        <v>67</v>
      </c>
      <c r="D263" s="2" t="s">
        <v>81</v>
      </c>
      <c r="E263" s="2" t="s">
        <v>79</v>
      </c>
      <c r="F263" s="2" t="s">
        <v>68</v>
      </c>
      <c r="G263" s="2" t="s">
        <v>80</v>
      </c>
      <c r="H263" s="2" t="s">
        <v>117</v>
      </c>
      <c r="I263" s="2" t="s">
        <v>117</v>
      </c>
      <c r="J263" s="2" t="s">
        <v>117</v>
      </c>
      <c r="K263" s="2" t="s">
        <v>82</v>
      </c>
      <c r="L263" s="2" t="s">
        <v>99</v>
      </c>
      <c r="M263" s="2" t="s">
        <v>90</v>
      </c>
      <c r="N263" s="2" t="s">
        <v>115</v>
      </c>
      <c r="O263" s="2" t="s">
        <v>117</v>
      </c>
      <c r="P263" s="2" t="s">
        <v>111</v>
      </c>
      <c r="Q263" s="31">
        <v>0</v>
      </c>
      <c r="R263" s="2" t="s">
        <v>117</v>
      </c>
      <c r="S263" s="2" t="s">
        <v>139</v>
      </c>
      <c r="T263" s="20">
        <v>46204</v>
      </c>
      <c r="U263" s="32">
        <v>3</v>
      </c>
      <c r="V263" s="32">
        <v>2</v>
      </c>
      <c r="W263" s="22">
        <f t="shared" ref="W263:W282" si="77">IF(K263="내수", 1, 1300)</f>
        <v>1300</v>
      </c>
      <c r="X263" s="22">
        <v>6951</v>
      </c>
      <c r="Y263" s="23">
        <f t="shared" ref="Y263:Y282" si="78">X263*Z263/1000</f>
        <v>9094.4799951553341</v>
      </c>
      <c r="Z263" s="24">
        <f t="shared" ref="Z263:Z282" si="79">AA263+AB263+AC263</f>
        <v>1308.3700180053711</v>
      </c>
      <c r="AA263" s="30">
        <v>1015.5900268554688</v>
      </c>
      <c r="AB263" s="30">
        <v>233.92999267578125</v>
      </c>
      <c r="AC263" s="30">
        <v>58.849998474121094</v>
      </c>
      <c r="AD263" s="25">
        <f t="shared" si="72"/>
        <v>1006.4384753887471</v>
      </c>
      <c r="AE263" s="26">
        <v>961.16924579326928</v>
      </c>
      <c r="AF263" s="26">
        <v>45.269229595477768</v>
      </c>
      <c r="AG263" s="26">
        <v>0</v>
      </c>
      <c r="AH263" s="25">
        <f t="shared" si="73"/>
        <v>6.995753842427181</v>
      </c>
      <c r="AI263" s="25">
        <f t="shared" si="74"/>
        <v>6.6810874275090146</v>
      </c>
      <c r="AJ263" s="25">
        <f t="shared" si="75"/>
        <v>0.31466641491816594</v>
      </c>
      <c r="AK263" s="25">
        <f t="shared" si="76"/>
        <v>0</v>
      </c>
      <c r="BA263" s="34">
        <f t="shared" ref="BA263:BA282" si="80">AA263*X263</f>
        <v>7059366.2766723633</v>
      </c>
      <c r="BB263" s="34">
        <f t="shared" ref="BB263:BB282" si="81">AB263*X263</f>
        <v>1626047.3790893555</v>
      </c>
      <c r="BC263" s="34">
        <f t="shared" ref="BC263:BC282" si="82">AC263*X263</f>
        <v>409066.33939361572</v>
      </c>
    </row>
    <row r="264" spans="2:55">
      <c r="B264" s="2" t="s">
        <v>66</v>
      </c>
      <c r="C264" s="2" t="s">
        <v>67</v>
      </c>
      <c r="D264" s="2" t="s">
        <v>81</v>
      </c>
      <c r="E264" s="2" t="s">
        <v>79</v>
      </c>
      <c r="F264" s="2" t="s">
        <v>68</v>
      </c>
      <c r="G264" s="2" t="s">
        <v>80</v>
      </c>
      <c r="H264" s="2" t="s">
        <v>117</v>
      </c>
      <c r="I264" s="2" t="s">
        <v>117</v>
      </c>
      <c r="J264" s="2" t="s">
        <v>117</v>
      </c>
      <c r="K264" s="2" t="s">
        <v>82</v>
      </c>
      <c r="L264" s="2" t="s">
        <v>99</v>
      </c>
      <c r="M264" s="2" t="s">
        <v>90</v>
      </c>
      <c r="N264" s="2" t="s">
        <v>115</v>
      </c>
      <c r="O264" s="2" t="s">
        <v>117</v>
      </c>
      <c r="P264" s="2" t="s">
        <v>111</v>
      </c>
      <c r="Q264" s="31">
        <v>0</v>
      </c>
      <c r="R264" s="2" t="s">
        <v>117</v>
      </c>
      <c r="S264" s="2" t="s">
        <v>106</v>
      </c>
      <c r="T264" s="20">
        <v>46204</v>
      </c>
      <c r="U264" s="32">
        <v>3</v>
      </c>
      <c r="V264" s="32">
        <v>2</v>
      </c>
      <c r="W264" s="22">
        <f t="shared" si="77"/>
        <v>1300</v>
      </c>
      <c r="X264" s="22">
        <v>46910</v>
      </c>
      <c r="Y264" s="23">
        <f t="shared" si="78"/>
        <v>60729.684138946533</v>
      </c>
      <c r="Z264" s="24">
        <f t="shared" si="79"/>
        <v>1294.5999603271484</v>
      </c>
      <c r="AA264" s="30">
        <v>1027.0899658203125</v>
      </c>
      <c r="AB264" s="30">
        <v>171.25999450683594</v>
      </c>
      <c r="AC264" s="30">
        <v>96.25</v>
      </c>
      <c r="AD264" s="25">
        <f t="shared" si="72"/>
        <v>995.8461233285758</v>
      </c>
      <c r="AE264" s="26">
        <v>921.80766179011425</v>
      </c>
      <c r="AF264" s="26">
        <v>74.038461538461533</v>
      </c>
      <c r="AG264" s="26">
        <v>0</v>
      </c>
      <c r="AH264" s="25">
        <f t="shared" si="73"/>
        <v>46.715141645343493</v>
      </c>
      <c r="AI264" s="25">
        <f t="shared" si="74"/>
        <v>43.241997414574257</v>
      </c>
      <c r="AJ264" s="25">
        <f t="shared" si="75"/>
        <v>3.4731442307692304</v>
      </c>
      <c r="AK264" s="25">
        <f t="shared" si="76"/>
        <v>0</v>
      </c>
      <c r="BA264" s="34">
        <f t="shared" si="80"/>
        <v>48180790.296630859</v>
      </c>
      <c r="BB264" s="34">
        <f t="shared" si="81"/>
        <v>8033806.3423156738</v>
      </c>
      <c r="BC264" s="34">
        <f t="shared" si="82"/>
        <v>4515087.5</v>
      </c>
    </row>
    <row r="265" spans="2:55">
      <c r="B265" s="2" t="s">
        <v>66</v>
      </c>
      <c r="C265" s="2" t="s">
        <v>67</v>
      </c>
      <c r="D265" s="2" t="s">
        <v>81</v>
      </c>
      <c r="E265" s="2" t="s">
        <v>79</v>
      </c>
      <c r="F265" s="2" t="s">
        <v>68</v>
      </c>
      <c r="G265" s="2" t="s">
        <v>80</v>
      </c>
      <c r="H265" s="2" t="s">
        <v>117</v>
      </c>
      <c r="I265" s="2" t="s">
        <v>117</v>
      </c>
      <c r="J265" s="2" t="s">
        <v>117</v>
      </c>
      <c r="K265" s="2" t="s">
        <v>82</v>
      </c>
      <c r="L265" s="2" t="s">
        <v>99</v>
      </c>
      <c r="M265" s="2" t="s">
        <v>90</v>
      </c>
      <c r="N265" s="2" t="s">
        <v>115</v>
      </c>
      <c r="O265" s="2" t="s">
        <v>117</v>
      </c>
      <c r="P265" s="2" t="s">
        <v>111</v>
      </c>
      <c r="Q265" s="31">
        <v>0</v>
      </c>
      <c r="R265" s="2" t="s">
        <v>117</v>
      </c>
      <c r="S265" s="2" t="s">
        <v>105</v>
      </c>
      <c r="T265" s="20">
        <v>46204</v>
      </c>
      <c r="U265" s="32">
        <v>3</v>
      </c>
      <c r="V265" s="32">
        <v>2</v>
      </c>
      <c r="W265" s="22">
        <f t="shared" si="77"/>
        <v>1300</v>
      </c>
      <c r="X265" s="22">
        <v>41211</v>
      </c>
      <c r="Y265" s="23">
        <f t="shared" si="78"/>
        <v>70144.00927274322</v>
      </c>
      <c r="Z265" s="24">
        <f t="shared" si="79"/>
        <v>1702.0700607299805</v>
      </c>
      <c r="AA265" s="30">
        <v>1481.31005859375</v>
      </c>
      <c r="AB265" s="30">
        <v>132.02000427246094</v>
      </c>
      <c r="AC265" s="30">
        <v>88.739997863769531</v>
      </c>
      <c r="AD265" s="25">
        <f t="shared" si="72"/>
        <v>1309.2846620999849</v>
      </c>
      <c r="AE265" s="26">
        <v>1241.0231252817007</v>
      </c>
      <c r="AF265" s="26">
        <v>68.261536818284256</v>
      </c>
      <c r="AG265" s="26">
        <v>0</v>
      </c>
      <c r="AH265" s="25">
        <f t="shared" si="73"/>
        <v>53.956930209802479</v>
      </c>
      <c r="AI265" s="25">
        <f t="shared" si="74"/>
        <v>51.143804015984173</v>
      </c>
      <c r="AJ265" s="25">
        <f t="shared" si="75"/>
        <v>2.8131261938183125</v>
      </c>
      <c r="AK265" s="25">
        <f t="shared" si="76"/>
        <v>0</v>
      </c>
      <c r="BA265" s="34">
        <f t="shared" si="80"/>
        <v>61046268.824707031</v>
      </c>
      <c r="BB265" s="34">
        <f t="shared" si="81"/>
        <v>5440676.3960723877</v>
      </c>
      <c r="BC265" s="34">
        <f t="shared" si="82"/>
        <v>3657064.0519638062</v>
      </c>
    </row>
    <row r="266" spans="2:55">
      <c r="B266" s="2" t="s">
        <v>66</v>
      </c>
      <c r="C266" s="2" t="s">
        <v>67</v>
      </c>
      <c r="D266" s="2" t="s">
        <v>81</v>
      </c>
      <c r="E266" s="2" t="s">
        <v>79</v>
      </c>
      <c r="F266" s="2" t="s">
        <v>68</v>
      </c>
      <c r="G266" s="2" t="s">
        <v>80</v>
      </c>
      <c r="H266" s="2" t="s">
        <v>117</v>
      </c>
      <c r="I266" s="2" t="s">
        <v>117</v>
      </c>
      <c r="J266" s="2" t="s">
        <v>117</v>
      </c>
      <c r="K266" s="2" t="s">
        <v>82</v>
      </c>
      <c r="L266" s="2" t="s">
        <v>99</v>
      </c>
      <c r="M266" s="2" t="s">
        <v>90</v>
      </c>
      <c r="N266" s="2" t="s">
        <v>115</v>
      </c>
      <c r="O266" s="2" t="s">
        <v>117</v>
      </c>
      <c r="P266" s="2" t="s">
        <v>111</v>
      </c>
      <c r="Q266" s="31">
        <v>0</v>
      </c>
      <c r="R266" s="2" t="s">
        <v>117</v>
      </c>
      <c r="S266" s="2" t="s">
        <v>107</v>
      </c>
      <c r="T266" s="20">
        <v>46204</v>
      </c>
      <c r="U266" s="32">
        <v>3</v>
      </c>
      <c r="V266" s="32">
        <v>2</v>
      </c>
      <c r="W266" s="22">
        <f t="shared" si="77"/>
        <v>1300</v>
      </c>
      <c r="X266" s="22">
        <v>35110</v>
      </c>
      <c r="Y266" s="23">
        <f t="shared" si="78"/>
        <v>54130.841696395873</v>
      </c>
      <c r="Z266" s="24">
        <f t="shared" si="79"/>
        <v>1541.7499771118164</v>
      </c>
      <c r="AA266" s="30">
        <v>1207.97998046875</v>
      </c>
      <c r="AB266" s="30">
        <v>251.50999450683594</v>
      </c>
      <c r="AC266" s="30">
        <v>82.260002136230469</v>
      </c>
      <c r="AD266" s="25">
        <f t="shared" si="72"/>
        <v>1185.9615208552434</v>
      </c>
      <c r="AE266" s="26">
        <v>1122.6845961350662</v>
      </c>
      <c r="AF266" s="26">
        <v>63.276924720177277</v>
      </c>
      <c r="AG266" s="26">
        <v>0</v>
      </c>
      <c r="AH266" s="25">
        <f t="shared" si="73"/>
        <v>41.639108997227595</v>
      </c>
      <c r="AI266" s="25">
        <f t="shared" si="74"/>
        <v>39.417456170302174</v>
      </c>
      <c r="AJ266" s="25">
        <f t="shared" si="75"/>
        <v>2.2216528269254243</v>
      </c>
      <c r="AK266" s="25">
        <f t="shared" si="76"/>
        <v>0</v>
      </c>
      <c r="BA266" s="34">
        <f t="shared" si="80"/>
        <v>42412177.114257813</v>
      </c>
      <c r="BB266" s="34">
        <f t="shared" si="81"/>
        <v>8830515.9071350098</v>
      </c>
      <c r="BC266" s="34">
        <f t="shared" si="82"/>
        <v>2888148.6750030518</v>
      </c>
    </row>
    <row r="267" spans="2:55">
      <c r="B267" s="2" t="s">
        <v>66</v>
      </c>
      <c r="C267" s="2" t="s">
        <v>67</v>
      </c>
      <c r="D267" s="2" t="s">
        <v>81</v>
      </c>
      <c r="E267" s="2" t="s">
        <v>79</v>
      </c>
      <c r="F267" s="2" t="s">
        <v>68</v>
      </c>
      <c r="G267" s="2" t="s">
        <v>80</v>
      </c>
      <c r="H267" s="2" t="s">
        <v>117</v>
      </c>
      <c r="I267" s="2" t="s">
        <v>117</v>
      </c>
      <c r="J267" s="2" t="s">
        <v>117</v>
      </c>
      <c r="K267" s="2" t="s">
        <v>82</v>
      </c>
      <c r="L267" s="2" t="s">
        <v>99</v>
      </c>
      <c r="M267" s="2" t="s">
        <v>90</v>
      </c>
      <c r="N267" s="2" t="s">
        <v>115</v>
      </c>
      <c r="O267" s="2" t="s">
        <v>117</v>
      </c>
      <c r="P267" s="2" t="s">
        <v>111</v>
      </c>
      <c r="Q267" s="31">
        <v>0</v>
      </c>
      <c r="R267" s="2" t="s">
        <v>117</v>
      </c>
      <c r="S267" s="2" t="s">
        <v>140</v>
      </c>
      <c r="T267" s="20">
        <v>46204</v>
      </c>
      <c r="U267" s="32">
        <v>3</v>
      </c>
      <c r="V267" s="32">
        <v>2</v>
      </c>
      <c r="W267" s="22">
        <f t="shared" si="77"/>
        <v>1300</v>
      </c>
      <c r="X267" s="22">
        <v>37800</v>
      </c>
      <c r="Y267" s="23">
        <f t="shared" si="78"/>
        <v>37933.433809661867</v>
      </c>
      <c r="Z267" s="24">
        <f t="shared" si="79"/>
        <v>1003.5299949645996</v>
      </c>
      <c r="AA267" s="30">
        <v>815.739990234375</v>
      </c>
      <c r="AB267" s="30">
        <v>163.74000549316406</v>
      </c>
      <c r="AC267" s="30">
        <v>24.049999237060547</v>
      </c>
      <c r="AD267" s="25">
        <f t="shared" si="72"/>
        <v>771.94614997276904</v>
      </c>
      <c r="AE267" s="26">
        <v>753.4461505596455</v>
      </c>
      <c r="AF267" s="26">
        <v>18.499999413123497</v>
      </c>
      <c r="AG267" s="26">
        <v>0</v>
      </c>
      <c r="AH267" s="25">
        <f t="shared" si="73"/>
        <v>29.179564468970671</v>
      </c>
      <c r="AI267" s="25">
        <f t="shared" si="74"/>
        <v>28.4802644911546</v>
      </c>
      <c r="AJ267" s="25">
        <f t="shared" si="75"/>
        <v>0.69929997781606823</v>
      </c>
      <c r="AK267" s="25">
        <f t="shared" si="76"/>
        <v>0</v>
      </c>
      <c r="BA267" s="34">
        <f t="shared" si="80"/>
        <v>30834971.630859375</v>
      </c>
      <c r="BB267" s="34">
        <f t="shared" si="81"/>
        <v>6189372.2076416016</v>
      </c>
      <c r="BC267" s="34">
        <f t="shared" si="82"/>
        <v>909089.97116088867</v>
      </c>
    </row>
    <row r="268" spans="2:55">
      <c r="B268" s="2" t="s">
        <v>66</v>
      </c>
      <c r="C268" s="2" t="s">
        <v>67</v>
      </c>
      <c r="D268" s="2" t="s">
        <v>81</v>
      </c>
      <c r="E268" s="2" t="s">
        <v>79</v>
      </c>
      <c r="F268" s="2" t="s">
        <v>68</v>
      </c>
      <c r="G268" s="2" t="s">
        <v>80</v>
      </c>
      <c r="H268" s="2" t="s">
        <v>117</v>
      </c>
      <c r="I268" s="2" t="s">
        <v>117</v>
      </c>
      <c r="J268" s="2" t="s">
        <v>117</v>
      </c>
      <c r="K268" s="2" t="s">
        <v>82</v>
      </c>
      <c r="L268" s="2" t="s">
        <v>99</v>
      </c>
      <c r="M268" s="2" t="s">
        <v>90</v>
      </c>
      <c r="N268" s="2" t="s">
        <v>115</v>
      </c>
      <c r="O268" s="2" t="s">
        <v>117</v>
      </c>
      <c r="P268" s="2" t="s">
        <v>111</v>
      </c>
      <c r="Q268" s="31">
        <v>0</v>
      </c>
      <c r="R268" s="2" t="s">
        <v>117</v>
      </c>
      <c r="S268" s="2" t="s">
        <v>109</v>
      </c>
      <c r="T268" s="20">
        <v>46204</v>
      </c>
      <c r="U268" s="32">
        <v>3</v>
      </c>
      <c r="V268" s="32">
        <v>2</v>
      </c>
      <c r="W268" s="22">
        <f t="shared" si="77"/>
        <v>1300</v>
      </c>
      <c r="X268" s="22">
        <v>7574</v>
      </c>
      <c r="Y268" s="23">
        <f t="shared" si="78"/>
        <v>10366.836917175293</v>
      </c>
      <c r="Z268" s="24">
        <f t="shared" si="79"/>
        <v>1368.7400207519531</v>
      </c>
      <c r="AA268" s="30">
        <v>1004.6500244140625</v>
      </c>
      <c r="AB268" s="30">
        <v>299.92999267578125</v>
      </c>
      <c r="AC268" s="30">
        <v>64.160003662109375</v>
      </c>
      <c r="AD268" s="25">
        <f t="shared" si="72"/>
        <v>1052.8769390399639</v>
      </c>
      <c r="AE268" s="26">
        <v>1003.5230900691106</v>
      </c>
      <c r="AF268" s="26">
        <v>49.35384897085337</v>
      </c>
      <c r="AG268" s="26">
        <v>0</v>
      </c>
      <c r="AH268" s="25">
        <f t="shared" si="73"/>
        <v>7.9744899362886867</v>
      </c>
      <c r="AI268" s="25">
        <f t="shared" si="74"/>
        <v>7.6006838841834439</v>
      </c>
      <c r="AJ268" s="25">
        <f t="shared" si="75"/>
        <v>0.37380605210524342</v>
      </c>
      <c r="AK268" s="25">
        <f t="shared" si="76"/>
        <v>0</v>
      </c>
      <c r="BA268" s="34">
        <f t="shared" si="80"/>
        <v>7609219.2849121094</v>
      </c>
      <c r="BB268" s="34">
        <f t="shared" si="81"/>
        <v>2271669.7645263672</v>
      </c>
      <c r="BC268" s="34">
        <f t="shared" si="82"/>
        <v>485947.86773681641</v>
      </c>
    </row>
    <row r="269" spans="2:55">
      <c r="B269" s="2" t="s">
        <v>66</v>
      </c>
      <c r="C269" s="2" t="s">
        <v>67</v>
      </c>
      <c r="D269" s="2" t="s">
        <v>81</v>
      </c>
      <c r="E269" s="2" t="s">
        <v>79</v>
      </c>
      <c r="F269" s="2" t="s">
        <v>68</v>
      </c>
      <c r="G269" s="2" t="s">
        <v>80</v>
      </c>
      <c r="H269" s="2" t="s">
        <v>117</v>
      </c>
      <c r="I269" s="2" t="s">
        <v>117</v>
      </c>
      <c r="J269" s="2" t="s">
        <v>117</v>
      </c>
      <c r="K269" s="2" t="s">
        <v>82</v>
      </c>
      <c r="L269" s="2" t="s">
        <v>99</v>
      </c>
      <c r="M269" s="2" t="s">
        <v>90</v>
      </c>
      <c r="N269" s="2" t="s">
        <v>115</v>
      </c>
      <c r="O269" s="2" t="s">
        <v>117</v>
      </c>
      <c r="P269" s="2" t="s">
        <v>111</v>
      </c>
      <c r="Q269" s="31">
        <v>0</v>
      </c>
      <c r="R269" s="2" t="s">
        <v>117</v>
      </c>
      <c r="S269" s="2" t="s">
        <v>108</v>
      </c>
      <c r="T269" s="20">
        <v>46204</v>
      </c>
      <c r="U269" s="32">
        <v>3</v>
      </c>
      <c r="V269" s="32">
        <v>2</v>
      </c>
      <c r="W269" s="22">
        <f t="shared" si="77"/>
        <v>1300</v>
      </c>
      <c r="X269" s="22">
        <v>45373</v>
      </c>
      <c r="Y269" s="23">
        <f t="shared" si="78"/>
        <v>64545.361980804446</v>
      </c>
      <c r="Z269" s="24">
        <f t="shared" si="79"/>
        <v>1422.5500183105469</v>
      </c>
      <c r="AA269" s="30">
        <v>1078.6500244140625</v>
      </c>
      <c r="AB269" s="30">
        <v>261.8699951171875</v>
      </c>
      <c r="AC269" s="30">
        <v>82.029998779296875</v>
      </c>
      <c r="AD269" s="25">
        <f t="shared" si="72"/>
        <v>1094.2692448542668</v>
      </c>
      <c r="AE269" s="26">
        <v>1031.1692457932693</v>
      </c>
      <c r="AF269" s="26">
        <v>63.099999060997597</v>
      </c>
      <c r="AG269" s="26">
        <v>0</v>
      </c>
      <c r="AH269" s="25">
        <f t="shared" si="73"/>
        <v>49.650278446772653</v>
      </c>
      <c r="AI269" s="25">
        <f t="shared" si="74"/>
        <v>46.787242189378006</v>
      </c>
      <c r="AJ269" s="25">
        <f t="shared" si="75"/>
        <v>2.863036257394644</v>
      </c>
      <c r="AK269" s="25">
        <f t="shared" si="76"/>
        <v>0</v>
      </c>
      <c r="BA269" s="34">
        <f t="shared" si="80"/>
        <v>48941587.557739258</v>
      </c>
      <c r="BB269" s="34">
        <f t="shared" si="81"/>
        <v>11881827.288452148</v>
      </c>
      <c r="BC269" s="34">
        <f t="shared" si="82"/>
        <v>3721947.1346130371</v>
      </c>
    </row>
    <row r="270" spans="2:55">
      <c r="B270" s="2" t="s">
        <v>66</v>
      </c>
      <c r="C270" s="2" t="s">
        <v>67</v>
      </c>
      <c r="D270" s="2" t="s">
        <v>81</v>
      </c>
      <c r="E270" s="2" t="s">
        <v>79</v>
      </c>
      <c r="F270" s="2" t="s">
        <v>68</v>
      </c>
      <c r="G270" s="2" t="s">
        <v>80</v>
      </c>
      <c r="H270" s="2" t="s">
        <v>117</v>
      </c>
      <c r="I270" s="2" t="s">
        <v>117</v>
      </c>
      <c r="J270" s="2" t="s">
        <v>117</v>
      </c>
      <c r="K270" s="2" t="s">
        <v>82</v>
      </c>
      <c r="L270" s="2" t="s">
        <v>99</v>
      </c>
      <c r="M270" s="2" t="s">
        <v>90</v>
      </c>
      <c r="N270" s="2" t="s">
        <v>115</v>
      </c>
      <c r="O270" s="2" t="s">
        <v>117</v>
      </c>
      <c r="P270" s="2" t="s">
        <v>111</v>
      </c>
      <c r="Q270" s="31">
        <v>0</v>
      </c>
      <c r="R270" s="2" t="s">
        <v>117</v>
      </c>
      <c r="S270" s="2" t="s">
        <v>103</v>
      </c>
      <c r="T270" s="20">
        <v>46204</v>
      </c>
      <c r="U270" s="32">
        <v>3</v>
      </c>
      <c r="V270" s="32">
        <v>2</v>
      </c>
      <c r="W270" s="22">
        <f t="shared" si="77"/>
        <v>1300</v>
      </c>
      <c r="X270" s="22">
        <v>11349</v>
      </c>
      <c r="Y270" s="23">
        <f t="shared" si="78"/>
        <v>13239.629695266724</v>
      </c>
      <c r="Z270" s="24">
        <f t="shared" si="79"/>
        <v>1166.5899810791016</v>
      </c>
      <c r="AA270" s="30">
        <v>858.1099853515625</v>
      </c>
      <c r="AB270" s="30">
        <v>270.39999389648438</v>
      </c>
      <c r="AC270" s="30">
        <v>38.080001831054688</v>
      </c>
      <c r="AD270" s="25">
        <f t="shared" si="72"/>
        <v>897.37690852238586</v>
      </c>
      <c r="AE270" s="26">
        <v>868.08459942157458</v>
      </c>
      <c r="AF270" s="26">
        <v>29.292309100811298</v>
      </c>
      <c r="AG270" s="26">
        <v>0</v>
      </c>
      <c r="AH270" s="25">
        <f t="shared" si="73"/>
        <v>10.184330534820557</v>
      </c>
      <c r="AI270" s="25">
        <f t="shared" si="74"/>
        <v>9.8518921188354494</v>
      </c>
      <c r="AJ270" s="25">
        <f t="shared" si="75"/>
        <v>0.33243841598510743</v>
      </c>
      <c r="AK270" s="25">
        <f t="shared" si="76"/>
        <v>0</v>
      </c>
      <c r="BA270" s="34">
        <f t="shared" si="80"/>
        <v>9738690.2237548828</v>
      </c>
      <c r="BB270" s="34">
        <f t="shared" si="81"/>
        <v>3068769.5307312012</v>
      </c>
      <c r="BC270" s="34">
        <f t="shared" si="82"/>
        <v>432169.94078063965</v>
      </c>
    </row>
    <row r="271" spans="2:55">
      <c r="B271" s="2" t="s">
        <v>66</v>
      </c>
      <c r="C271" s="2" t="s">
        <v>67</v>
      </c>
      <c r="D271" s="2" t="s">
        <v>81</v>
      </c>
      <c r="E271" s="2" t="s">
        <v>79</v>
      </c>
      <c r="F271" s="2" t="s">
        <v>68</v>
      </c>
      <c r="G271" s="2" t="s">
        <v>80</v>
      </c>
      <c r="H271" s="2" t="s">
        <v>117</v>
      </c>
      <c r="I271" s="2" t="s">
        <v>117</v>
      </c>
      <c r="J271" s="2" t="s">
        <v>117</v>
      </c>
      <c r="K271" s="2" t="s">
        <v>82</v>
      </c>
      <c r="L271" s="2" t="s">
        <v>99</v>
      </c>
      <c r="M271" s="2" t="s">
        <v>90</v>
      </c>
      <c r="N271" s="2" t="s">
        <v>115</v>
      </c>
      <c r="O271" s="2" t="s">
        <v>117</v>
      </c>
      <c r="P271" s="2" t="s">
        <v>111</v>
      </c>
      <c r="Q271" s="31">
        <v>0</v>
      </c>
      <c r="R271" s="2" t="s">
        <v>117</v>
      </c>
      <c r="S271" s="2" t="s">
        <v>104</v>
      </c>
      <c r="T271" s="20">
        <v>46204</v>
      </c>
      <c r="U271" s="32">
        <v>3</v>
      </c>
      <c r="V271" s="32">
        <v>2</v>
      </c>
      <c r="W271" s="22">
        <f t="shared" si="77"/>
        <v>1300</v>
      </c>
      <c r="X271" s="22">
        <v>42916</v>
      </c>
      <c r="Y271" s="23">
        <f t="shared" si="78"/>
        <v>65720.276838699341</v>
      </c>
      <c r="Z271" s="24">
        <f t="shared" si="79"/>
        <v>1531.370044708252</v>
      </c>
      <c r="AA271" s="30">
        <v>1192.300048828125</v>
      </c>
      <c r="AB271" s="30">
        <v>288.83999633789063</v>
      </c>
      <c r="AC271" s="30">
        <v>50.229999542236328</v>
      </c>
      <c r="AD271" s="25">
        <f t="shared" si="72"/>
        <v>1177.9769574678862</v>
      </c>
      <c r="AE271" s="26">
        <v>1139.3384962815505</v>
      </c>
      <c r="AF271" s="26">
        <v>38.63846118633564</v>
      </c>
      <c r="AG271" s="26">
        <v>0</v>
      </c>
      <c r="AH271" s="25">
        <f t="shared" si="73"/>
        <v>50.55405910669181</v>
      </c>
      <c r="AI271" s="25">
        <f t="shared" si="74"/>
        <v>48.895850906419021</v>
      </c>
      <c r="AJ271" s="25">
        <f t="shared" si="75"/>
        <v>1.6582082002727805</v>
      </c>
      <c r="AK271" s="25">
        <f t="shared" si="76"/>
        <v>0</v>
      </c>
      <c r="BA271" s="34">
        <f t="shared" si="80"/>
        <v>51168748.895507813</v>
      </c>
      <c r="BB271" s="34">
        <f t="shared" si="81"/>
        <v>12395857.282836914</v>
      </c>
      <c r="BC271" s="34">
        <f t="shared" si="82"/>
        <v>2155670.6603546143</v>
      </c>
    </row>
    <row r="272" spans="2:55">
      <c r="B272" s="2" t="s">
        <v>66</v>
      </c>
      <c r="C272" s="2" t="s">
        <v>67</v>
      </c>
      <c r="D272" s="2" t="s">
        <v>81</v>
      </c>
      <c r="E272" s="2" t="s">
        <v>79</v>
      </c>
      <c r="F272" s="2" t="s">
        <v>68</v>
      </c>
      <c r="G272" s="2" t="s">
        <v>80</v>
      </c>
      <c r="H272" s="2" t="s">
        <v>117</v>
      </c>
      <c r="I272" s="2" t="s">
        <v>117</v>
      </c>
      <c r="J272" s="2" t="s">
        <v>117</v>
      </c>
      <c r="K272" s="2" t="s">
        <v>82</v>
      </c>
      <c r="L272" s="2" t="s">
        <v>99</v>
      </c>
      <c r="M272" s="2" t="s">
        <v>91</v>
      </c>
      <c r="N272" s="2" t="s">
        <v>115</v>
      </c>
      <c r="O272" s="2" t="s">
        <v>117</v>
      </c>
      <c r="P272" s="2" t="s">
        <v>111</v>
      </c>
      <c r="Q272" s="31">
        <v>0</v>
      </c>
      <c r="R272" s="2" t="s">
        <v>117</v>
      </c>
      <c r="S272" s="2" t="s">
        <v>101</v>
      </c>
      <c r="T272" s="20">
        <v>46204</v>
      </c>
      <c r="U272" s="32">
        <v>3</v>
      </c>
      <c r="V272" s="32">
        <v>2</v>
      </c>
      <c r="W272" s="22">
        <f t="shared" si="77"/>
        <v>1300</v>
      </c>
      <c r="X272" s="22">
        <v>41310</v>
      </c>
      <c r="Y272" s="23">
        <f t="shared" si="78"/>
        <v>69764.741944656373</v>
      </c>
      <c r="Z272" s="24">
        <f t="shared" si="79"/>
        <v>1688.8100204467773</v>
      </c>
      <c r="AA272" s="30">
        <v>1471.8900146484375</v>
      </c>
      <c r="AB272" s="30">
        <v>121.44000244140625</v>
      </c>
      <c r="AC272" s="30">
        <v>95.480003356933594</v>
      </c>
      <c r="AD272" s="25">
        <f t="shared" si="72"/>
        <v>1299.0846311129058</v>
      </c>
      <c r="AE272" s="26">
        <v>817.0923164563302</v>
      </c>
      <c r="AF272" s="26">
        <v>73.446156428410461</v>
      </c>
      <c r="AG272" s="26">
        <v>408.5461582281651</v>
      </c>
      <c r="AH272" s="25">
        <f t="shared" si="73"/>
        <v>53.665186111274139</v>
      </c>
      <c r="AI272" s="25">
        <f t="shared" si="74"/>
        <v>33.754083592811</v>
      </c>
      <c r="AJ272" s="25">
        <f t="shared" si="75"/>
        <v>3.0340607220576365</v>
      </c>
      <c r="AK272" s="25">
        <f t="shared" si="76"/>
        <v>16.8770417964055</v>
      </c>
      <c r="BA272" s="34">
        <f t="shared" si="80"/>
        <v>60803776.505126953</v>
      </c>
      <c r="BB272" s="34">
        <f t="shared" si="81"/>
        <v>5016686.5008544922</v>
      </c>
      <c r="BC272" s="34">
        <f t="shared" si="82"/>
        <v>3944278.9386749268</v>
      </c>
    </row>
    <row r="273" spans="2:55">
      <c r="B273" s="2" t="s">
        <v>66</v>
      </c>
      <c r="C273" s="2" t="s">
        <v>67</v>
      </c>
      <c r="D273" s="2" t="s">
        <v>81</v>
      </c>
      <c r="E273" s="2" t="s">
        <v>79</v>
      </c>
      <c r="F273" s="2" t="s">
        <v>68</v>
      </c>
      <c r="G273" s="2" t="s">
        <v>80</v>
      </c>
      <c r="H273" s="2" t="s">
        <v>117</v>
      </c>
      <c r="I273" s="2" t="s">
        <v>117</v>
      </c>
      <c r="J273" s="2" t="s">
        <v>117</v>
      </c>
      <c r="K273" s="2" t="s">
        <v>82</v>
      </c>
      <c r="L273" s="2" t="s">
        <v>99</v>
      </c>
      <c r="M273" s="2" t="s">
        <v>91</v>
      </c>
      <c r="N273" s="2" t="s">
        <v>115</v>
      </c>
      <c r="O273" s="2" t="s">
        <v>117</v>
      </c>
      <c r="P273" s="2" t="s">
        <v>111</v>
      </c>
      <c r="Q273" s="31">
        <v>0</v>
      </c>
      <c r="R273" s="2" t="s">
        <v>117</v>
      </c>
      <c r="S273" s="2" t="s">
        <v>102</v>
      </c>
      <c r="T273" s="20">
        <v>46204</v>
      </c>
      <c r="U273" s="32">
        <v>3</v>
      </c>
      <c r="V273" s="32">
        <v>2</v>
      </c>
      <c r="W273" s="22">
        <f t="shared" si="77"/>
        <v>1300</v>
      </c>
      <c r="X273" s="22">
        <v>19146</v>
      </c>
      <c r="Y273" s="23">
        <f t="shared" si="78"/>
        <v>29958.894489646911</v>
      </c>
      <c r="Z273" s="24">
        <f t="shared" si="79"/>
        <v>1564.7599754333496</v>
      </c>
      <c r="AA273" s="30">
        <v>1341.469970703125</v>
      </c>
      <c r="AB273" s="30">
        <v>186.80000305175781</v>
      </c>
      <c r="AC273" s="30">
        <v>36.490001678466797</v>
      </c>
      <c r="AD273" s="25">
        <f t="shared" si="72"/>
        <v>1203.6615195641152</v>
      </c>
      <c r="AE273" s="26">
        <v>1175.5922875037561</v>
      </c>
      <c r="AF273" s="26">
        <v>28.069232060359074</v>
      </c>
      <c r="AG273" s="26">
        <v>0</v>
      </c>
      <c r="AH273" s="25">
        <f t="shared" si="73"/>
        <v>23.045303453574551</v>
      </c>
      <c r="AI273" s="25">
        <f t="shared" si="74"/>
        <v>22.507889936546913</v>
      </c>
      <c r="AJ273" s="25">
        <f t="shared" si="75"/>
        <v>0.53741351702763474</v>
      </c>
      <c r="AK273" s="25">
        <f t="shared" si="76"/>
        <v>0</v>
      </c>
      <c r="BA273" s="34">
        <f t="shared" si="80"/>
        <v>25683784.059082031</v>
      </c>
      <c r="BB273" s="34">
        <f t="shared" si="81"/>
        <v>3576472.8584289551</v>
      </c>
      <c r="BC273" s="34">
        <f t="shared" si="82"/>
        <v>698637.57213592529</v>
      </c>
    </row>
    <row r="274" spans="2:55">
      <c r="B274" s="2" t="s">
        <v>66</v>
      </c>
      <c r="C274" s="2" t="s">
        <v>67</v>
      </c>
      <c r="D274" s="2" t="s">
        <v>81</v>
      </c>
      <c r="E274" s="2" t="s">
        <v>79</v>
      </c>
      <c r="F274" s="2" t="s">
        <v>68</v>
      </c>
      <c r="G274" s="2" t="s">
        <v>80</v>
      </c>
      <c r="H274" s="2" t="s">
        <v>117</v>
      </c>
      <c r="I274" s="2" t="s">
        <v>117</v>
      </c>
      <c r="J274" s="2" t="s">
        <v>117</v>
      </c>
      <c r="K274" s="2" t="s">
        <v>82</v>
      </c>
      <c r="L274" s="2" t="s">
        <v>99</v>
      </c>
      <c r="M274" s="2" t="s">
        <v>91</v>
      </c>
      <c r="N274" s="2" t="s">
        <v>115</v>
      </c>
      <c r="O274" s="2" t="s">
        <v>117</v>
      </c>
      <c r="P274" s="2" t="s">
        <v>111</v>
      </c>
      <c r="Q274" s="31">
        <v>0</v>
      </c>
      <c r="R274" s="2" t="s">
        <v>117</v>
      </c>
      <c r="S274" s="2" t="s">
        <v>139</v>
      </c>
      <c r="T274" s="20">
        <v>46204</v>
      </c>
      <c r="U274" s="32">
        <v>3</v>
      </c>
      <c r="V274" s="32">
        <v>2</v>
      </c>
      <c r="W274" s="22">
        <f t="shared" si="77"/>
        <v>1300</v>
      </c>
      <c r="X274" s="22">
        <v>10568</v>
      </c>
      <c r="Y274" s="23">
        <f t="shared" si="78"/>
        <v>14282.123648376464</v>
      </c>
      <c r="Z274" s="24">
        <f t="shared" si="79"/>
        <v>1351.4500045776367</v>
      </c>
      <c r="AA274" s="30">
        <v>1012.010009765625</v>
      </c>
      <c r="AB274" s="30">
        <v>266.30999755859375</v>
      </c>
      <c r="AC274" s="30">
        <v>73.129997253417969</v>
      </c>
      <c r="AD274" s="25">
        <f t="shared" si="72"/>
        <v>1039.5769265981821</v>
      </c>
      <c r="AE274" s="26">
        <v>983.32308255709131</v>
      </c>
      <c r="AF274" s="26">
        <v>56.253844041090744</v>
      </c>
      <c r="AG274" s="26">
        <v>0</v>
      </c>
      <c r="AH274" s="25">
        <f t="shared" si="73"/>
        <v>10.986248960289588</v>
      </c>
      <c r="AI274" s="25">
        <f t="shared" si="74"/>
        <v>10.391758336463342</v>
      </c>
      <c r="AJ274" s="25">
        <f t="shared" si="75"/>
        <v>0.59449062382624696</v>
      </c>
      <c r="AK274" s="25">
        <f t="shared" si="76"/>
        <v>0</v>
      </c>
      <c r="BA274" s="34">
        <f t="shared" si="80"/>
        <v>10694921.783203125</v>
      </c>
      <c r="BB274" s="34">
        <f t="shared" si="81"/>
        <v>2814364.0541992188</v>
      </c>
      <c r="BC274" s="34">
        <f t="shared" si="82"/>
        <v>772837.81097412109</v>
      </c>
    </row>
    <row r="275" spans="2:55">
      <c r="B275" s="2" t="s">
        <v>66</v>
      </c>
      <c r="C275" s="2" t="s">
        <v>67</v>
      </c>
      <c r="D275" s="2" t="s">
        <v>81</v>
      </c>
      <c r="E275" s="2" t="s">
        <v>79</v>
      </c>
      <c r="F275" s="2" t="s">
        <v>68</v>
      </c>
      <c r="G275" s="2" t="s">
        <v>80</v>
      </c>
      <c r="H275" s="2" t="s">
        <v>117</v>
      </c>
      <c r="I275" s="2" t="s">
        <v>117</v>
      </c>
      <c r="J275" s="2" t="s">
        <v>117</v>
      </c>
      <c r="K275" s="2" t="s">
        <v>82</v>
      </c>
      <c r="L275" s="2" t="s">
        <v>99</v>
      </c>
      <c r="M275" s="2" t="s">
        <v>91</v>
      </c>
      <c r="N275" s="2" t="s">
        <v>115</v>
      </c>
      <c r="O275" s="2" t="s">
        <v>117</v>
      </c>
      <c r="P275" s="2" t="s">
        <v>111</v>
      </c>
      <c r="Q275" s="31">
        <v>0</v>
      </c>
      <c r="R275" s="2" t="s">
        <v>117</v>
      </c>
      <c r="S275" s="2" t="s">
        <v>106</v>
      </c>
      <c r="T275" s="20">
        <v>46204</v>
      </c>
      <c r="U275" s="32">
        <v>3</v>
      </c>
      <c r="V275" s="32">
        <v>2</v>
      </c>
      <c r="W275" s="22">
        <f t="shared" si="77"/>
        <v>1300</v>
      </c>
      <c r="X275" s="22">
        <v>43912</v>
      </c>
      <c r="Y275" s="23">
        <f t="shared" si="78"/>
        <v>49181.438911178586</v>
      </c>
      <c r="Z275" s="24">
        <f t="shared" si="79"/>
        <v>1119.9999752044678</v>
      </c>
      <c r="AA275" s="30">
        <v>973.40997314453125</v>
      </c>
      <c r="AB275" s="30">
        <v>127.58000183105469</v>
      </c>
      <c r="AC275" s="30">
        <v>19.010000228881836</v>
      </c>
      <c r="AD275" s="25">
        <f t="shared" si="72"/>
        <v>861.53844246497522</v>
      </c>
      <c r="AE275" s="26">
        <v>846.91536536583533</v>
      </c>
      <c r="AF275" s="26">
        <v>14.623077099139874</v>
      </c>
      <c r="AG275" s="26">
        <v>0</v>
      </c>
      <c r="AH275" s="25">
        <f t="shared" si="73"/>
        <v>37.831876085521991</v>
      </c>
      <c r="AI275" s="25">
        <f t="shared" si="74"/>
        <v>37.189747523944561</v>
      </c>
      <c r="AJ275" s="25">
        <f t="shared" si="75"/>
        <v>0.64212856157743015</v>
      </c>
      <c r="AK275" s="25">
        <f t="shared" si="76"/>
        <v>0</v>
      </c>
      <c r="BA275" s="34">
        <f t="shared" si="80"/>
        <v>42744378.740722656</v>
      </c>
      <c r="BB275" s="34">
        <f t="shared" si="81"/>
        <v>5602293.0404052734</v>
      </c>
      <c r="BC275" s="34">
        <f t="shared" si="82"/>
        <v>834767.13005065918</v>
      </c>
    </row>
    <row r="276" spans="2:55">
      <c r="B276" s="2" t="s">
        <v>66</v>
      </c>
      <c r="C276" s="2" t="s">
        <v>67</v>
      </c>
      <c r="D276" s="2" t="s">
        <v>81</v>
      </c>
      <c r="E276" s="2" t="s">
        <v>79</v>
      </c>
      <c r="F276" s="2" t="s">
        <v>68</v>
      </c>
      <c r="G276" s="2" t="s">
        <v>80</v>
      </c>
      <c r="H276" s="2" t="s">
        <v>117</v>
      </c>
      <c r="I276" s="2" t="s">
        <v>117</v>
      </c>
      <c r="J276" s="2" t="s">
        <v>117</v>
      </c>
      <c r="K276" s="2" t="s">
        <v>82</v>
      </c>
      <c r="L276" s="2" t="s">
        <v>99</v>
      </c>
      <c r="M276" s="2" t="s">
        <v>91</v>
      </c>
      <c r="N276" s="2" t="s">
        <v>115</v>
      </c>
      <c r="O276" s="2" t="s">
        <v>117</v>
      </c>
      <c r="P276" s="2" t="s">
        <v>111</v>
      </c>
      <c r="Q276" s="31">
        <v>0</v>
      </c>
      <c r="R276" s="2" t="s">
        <v>117</v>
      </c>
      <c r="S276" s="2" t="s">
        <v>105</v>
      </c>
      <c r="T276" s="20">
        <v>46204</v>
      </c>
      <c r="U276" s="32">
        <v>3</v>
      </c>
      <c r="V276" s="32">
        <v>2</v>
      </c>
      <c r="W276" s="22">
        <f t="shared" si="77"/>
        <v>1300</v>
      </c>
      <c r="X276" s="22">
        <v>26859</v>
      </c>
      <c r="Y276" s="23">
        <f t="shared" si="78"/>
        <v>35802.509128914353</v>
      </c>
      <c r="Z276" s="24">
        <f t="shared" si="79"/>
        <v>1332.9799742698669</v>
      </c>
      <c r="AA276" s="30">
        <v>1106.969970703125</v>
      </c>
      <c r="AB276" s="30">
        <v>222.91000366210938</v>
      </c>
      <c r="AC276" s="30">
        <v>3.0999999046325684</v>
      </c>
      <c r="AD276" s="25">
        <f t="shared" si="72"/>
        <v>1025.3692109768208</v>
      </c>
      <c r="AE276" s="26">
        <v>1022.9845956655649</v>
      </c>
      <c r="AF276" s="26">
        <v>2.3846153112558222</v>
      </c>
      <c r="AG276" s="26">
        <v>0</v>
      </c>
      <c r="AH276" s="25">
        <f t="shared" si="73"/>
        <v>27.540391637626428</v>
      </c>
      <c r="AI276" s="25">
        <f t="shared" si="74"/>
        <v>27.476343254981408</v>
      </c>
      <c r="AJ276" s="25">
        <f t="shared" si="75"/>
        <v>6.4048382645020135E-2</v>
      </c>
      <c r="AK276" s="25">
        <f t="shared" si="76"/>
        <v>0</v>
      </c>
      <c r="BA276" s="34">
        <f t="shared" si="80"/>
        <v>29732106.443115234</v>
      </c>
      <c r="BB276" s="34">
        <f t="shared" si="81"/>
        <v>5987139.7883605957</v>
      </c>
      <c r="BC276" s="34">
        <f t="shared" si="82"/>
        <v>83262.897438526154</v>
      </c>
    </row>
    <row r="277" spans="2:55">
      <c r="B277" s="2" t="s">
        <v>66</v>
      </c>
      <c r="C277" s="2" t="s">
        <v>67</v>
      </c>
      <c r="D277" s="2" t="s">
        <v>81</v>
      </c>
      <c r="E277" s="33" t="s">
        <v>79</v>
      </c>
      <c r="F277" s="2" t="s">
        <v>68</v>
      </c>
      <c r="G277" s="2" t="s">
        <v>80</v>
      </c>
      <c r="H277" s="2" t="s">
        <v>117</v>
      </c>
      <c r="I277" s="2" t="s">
        <v>117</v>
      </c>
      <c r="J277" s="2" t="s">
        <v>117</v>
      </c>
      <c r="K277" s="2" t="s">
        <v>82</v>
      </c>
      <c r="L277" s="2" t="s">
        <v>99</v>
      </c>
      <c r="M277" s="2" t="s">
        <v>91</v>
      </c>
      <c r="N277" s="2" t="s">
        <v>115</v>
      </c>
      <c r="O277" s="2" t="s">
        <v>117</v>
      </c>
      <c r="P277" s="2" t="s">
        <v>111</v>
      </c>
      <c r="Q277" s="31">
        <v>0</v>
      </c>
      <c r="R277" s="2" t="s">
        <v>117</v>
      </c>
      <c r="S277" s="2" t="s">
        <v>107</v>
      </c>
      <c r="T277" s="20">
        <v>46204</v>
      </c>
      <c r="U277" s="32">
        <v>3</v>
      </c>
      <c r="V277" s="32">
        <v>2</v>
      </c>
      <c r="W277" s="22">
        <f t="shared" si="77"/>
        <v>1300</v>
      </c>
      <c r="X277" s="22">
        <v>44093</v>
      </c>
      <c r="Y277" s="23">
        <f t="shared" si="78"/>
        <v>42189.505943542477</v>
      </c>
      <c r="Z277" s="24">
        <f t="shared" si="79"/>
        <v>956.83001708984375</v>
      </c>
      <c r="AA277" s="30">
        <v>797.8900146484375</v>
      </c>
      <c r="AB277" s="30">
        <v>62.680000305175781</v>
      </c>
      <c r="AC277" s="30">
        <v>96.260002136230469</v>
      </c>
      <c r="AD277" s="25">
        <f t="shared" si="72"/>
        <v>736.02309006911059</v>
      </c>
      <c r="AE277" s="26">
        <v>661.97693457970252</v>
      </c>
      <c r="AF277" s="26">
        <v>74.046155489408065</v>
      </c>
      <c r="AG277" s="26">
        <v>0</v>
      </c>
      <c r="AH277" s="25">
        <f t="shared" si="73"/>
        <v>32.453466110417295</v>
      </c>
      <c r="AI277" s="25">
        <f t="shared" si="74"/>
        <v>29.188548976422823</v>
      </c>
      <c r="AJ277" s="25">
        <f t="shared" si="75"/>
        <v>3.2649171339944698</v>
      </c>
      <c r="AK277" s="25">
        <f t="shared" si="76"/>
        <v>0</v>
      </c>
      <c r="BA277" s="34">
        <f t="shared" si="80"/>
        <v>35181364.415893555</v>
      </c>
      <c r="BB277" s="34">
        <f t="shared" si="81"/>
        <v>2763749.2534561157</v>
      </c>
      <c r="BC277" s="34">
        <f t="shared" si="82"/>
        <v>4244392.2741928101</v>
      </c>
    </row>
    <row r="278" spans="2:55">
      <c r="B278" s="2" t="s">
        <v>66</v>
      </c>
      <c r="C278" s="2" t="s">
        <v>67</v>
      </c>
      <c r="D278" s="2" t="s">
        <v>81</v>
      </c>
      <c r="E278" s="33" t="s">
        <v>79</v>
      </c>
      <c r="F278" s="2" t="s">
        <v>68</v>
      </c>
      <c r="G278" s="2" t="s">
        <v>80</v>
      </c>
      <c r="H278" s="2" t="s">
        <v>117</v>
      </c>
      <c r="I278" s="2" t="s">
        <v>117</v>
      </c>
      <c r="J278" s="2" t="s">
        <v>117</v>
      </c>
      <c r="K278" s="2" t="s">
        <v>82</v>
      </c>
      <c r="L278" s="2" t="s">
        <v>99</v>
      </c>
      <c r="M278" s="2" t="s">
        <v>91</v>
      </c>
      <c r="N278" s="2" t="s">
        <v>115</v>
      </c>
      <c r="O278" s="2" t="s">
        <v>117</v>
      </c>
      <c r="P278" s="2" t="s">
        <v>111</v>
      </c>
      <c r="Q278" s="31">
        <v>0</v>
      </c>
      <c r="R278" s="2" t="s">
        <v>117</v>
      </c>
      <c r="S278" s="2" t="s">
        <v>140</v>
      </c>
      <c r="T278" s="20">
        <v>46204</v>
      </c>
      <c r="U278" s="32">
        <v>3</v>
      </c>
      <c r="V278" s="32">
        <v>2</v>
      </c>
      <c r="W278" s="22">
        <f t="shared" si="77"/>
        <v>1300</v>
      </c>
      <c r="X278" s="22">
        <v>17456</v>
      </c>
      <c r="Y278" s="23">
        <f t="shared" si="78"/>
        <v>20500.849818969727</v>
      </c>
      <c r="Z278" s="24">
        <f t="shared" si="79"/>
        <v>1174.4299850463867</v>
      </c>
      <c r="AA278" s="30">
        <v>847.78997802734375</v>
      </c>
      <c r="AB278" s="30">
        <v>263.85000610351563</v>
      </c>
      <c r="AC278" s="30">
        <v>62.790000915527344</v>
      </c>
      <c r="AD278" s="25">
        <f t="shared" si="72"/>
        <v>903.40768080491296</v>
      </c>
      <c r="AE278" s="26">
        <v>855.10768010066113</v>
      </c>
      <c r="AF278" s="26">
        <v>48.300000704251808</v>
      </c>
      <c r="AG278" s="26">
        <v>0</v>
      </c>
      <c r="AH278" s="25">
        <f t="shared" si="73"/>
        <v>15.76988447613056</v>
      </c>
      <c r="AI278" s="25">
        <f t="shared" si="74"/>
        <v>14.92675966383714</v>
      </c>
      <c r="AJ278" s="25">
        <f t="shared" si="75"/>
        <v>0.84312481229341962</v>
      </c>
      <c r="AK278" s="25">
        <f t="shared" si="76"/>
        <v>0</v>
      </c>
      <c r="BA278" s="34">
        <f t="shared" si="80"/>
        <v>14799021.856445313</v>
      </c>
      <c r="BB278" s="34">
        <f t="shared" si="81"/>
        <v>4605765.7065429688</v>
      </c>
      <c r="BC278" s="34">
        <f t="shared" si="82"/>
        <v>1096062.2559814453</v>
      </c>
    </row>
    <row r="279" spans="2:55">
      <c r="B279" s="2" t="s">
        <v>66</v>
      </c>
      <c r="C279" s="2" t="s">
        <v>67</v>
      </c>
      <c r="D279" s="2" t="s">
        <v>81</v>
      </c>
      <c r="E279" s="2" t="s">
        <v>79</v>
      </c>
      <c r="F279" s="2" t="s">
        <v>68</v>
      </c>
      <c r="G279" s="2" t="s">
        <v>80</v>
      </c>
      <c r="H279" s="2" t="s">
        <v>117</v>
      </c>
      <c r="I279" s="2" t="s">
        <v>117</v>
      </c>
      <c r="J279" s="2" t="s">
        <v>117</v>
      </c>
      <c r="K279" s="2" t="s">
        <v>82</v>
      </c>
      <c r="L279" s="2" t="s">
        <v>99</v>
      </c>
      <c r="M279" s="2" t="s">
        <v>91</v>
      </c>
      <c r="N279" s="2" t="s">
        <v>115</v>
      </c>
      <c r="O279" s="2" t="s">
        <v>117</v>
      </c>
      <c r="P279" s="2" t="s">
        <v>111</v>
      </c>
      <c r="Q279" s="31">
        <v>0</v>
      </c>
      <c r="R279" s="2" t="s">
        <v>117</v>
      </c>
      <c r="S279" s="2" t="s">
        <v>109</v>
      </c>
      <c r="T279" s="20">
        <v>46204</v>
      </c>
      <c r="U279" s="32">
        <v>3</v>
      </c>
      <c r="V279" s="32">
        <v>2</v>
      </c>
      <c r="W279" s="22">
        <f t="shared" si="77"/>
        <v>1300</v>
      </c>
      <c r="X279" s="22">
        <v>28602</v>
      </c>
      <c r="Y279" s="23">
        <f t="shared" si="78"/>
        <v>28531.639106185914</v>
      </c>
      <c r="Z279" s="24">
        <f t="shared" si="79"/>
        <v>997.54000091552734</v>
      </c>
      <c r="AA279" s="30">
        <v>787.17999267578125</v>
      </c>
      <c r="AB279" s="30">
        <v>173.32000732421875</v>
      </c>
      <c r="AC279" s="30">
        <v>37.040000915527344</v>
      </c>
      <c r="AD279" s="25">
        <f t="shared" si="72"/>
        <v>767.33846224271326</v>
      </c>
      <c r="AE279" s="26">
        <v>738.84615384615381</v>
      </c>
      <c r="AF279" s="26">
        <v>28.492308396559494</v>
      </c>
      <c r="AG279" s="26">
        <v>0</v>
      </c>
      <c r="AH279" s="25">
        <f t="shared" si="73"/>
        <v>21.947414697066083</v>
      </c>
      <c r="AI279" s="25">
        <f t="shared" si="74"/>
        <v>21.132477692307692</v>
      </c>
      <c r="AJ279" s="25">
        <f t="shared" si="75"/>
        <v>0.8149370047583947</v>
      </c>
      <c r="AK279" s="25">
        <f t="shared" si="76"/>
        <v>0</v>
      </c>
      <c r="BA279" s="34">
        <f t="shared" si="80"/>
        <v>22514922.150512695</v>
      </c>
      <c r="BB279" s="34">
        <f t="shared" si="81"/>
        <v>4957298.8494873047</v>
      </c>
      <c r="BC279" s="34">
        <f t="shared" si="82"/>
        <v>1059418.1061859131</v>
      </c>
    </row>
    <row r="280" spans="2:55">
      <c r="B280" s="2" t="s">
        <v>66</v>
      </c>
      <c r="C280" s="2" t="s">
        <v>67</v>
      </c>
      <c r="D280" s="2" t="s">
        <v>81</v>
      </c>
      <c r="E280" s="2" t="s">
        <v>79</v>
      </c>
      <c r="F280" s="2" t="s">
        <v>68</v>
      </c>
      <c r="G280" s="2" t="s">
        <v>80</v>
      </c>
      <c r="H280" s="2" t="s">
        <v>117</v>
      </c>
      <c r="I280" s="2" t="s">
        <v>117</v>
      </c>
      <c r="J280" s="2" t="s">
        <v>117</v>
      </c>
      <c r="K280" s="2" t="s">
        <v>82</v>
      </c>
      <c r="L280" s="2" t="s">
        <v>99</v>
      </c>
      <c r="M280" s="2" t="s">
        <v>91</v>
      </c>
      <c r="N280" s="2" t="s">
        <v>115</v>
      </c>
      <c r="O280" s="2" t="s">
        <v>117</v>
      </c>
      <c r="P280" s="2" t="s">
        <v>111</v>
      </c>
      <c r="Q280" s="31">
        <v>0</v>
      </c>
      <c r="R280" s="2" t="s">
        <v>117</v>
      </c>
      <c r="S280" s="2" t="s">
        <v>108</v>
      </c>
      <c r="T280" s="20">
        <v>46204</v>
      </c>
      <c r="U280" s="32">
        <v>3</v>
      </c>
      <c r="V280" s="32">
        <v>2</v>
      </c>
      <c r="W280" s="22">
        <f t="shared" si="77"/>
        <v>1300</v>
      </c>
      <c r="X280" s="22">
        <v>4159</v>
      </c>
      <c r="Y280" s="23">
        <f t="shared" si="78"/>
        <v>5320.7334300193788</v>
      </c>
      <c r="Z280" s="24">
        <f t="shared" si="79"/>
        <v>1279.3299903869629</v>
      </c>
      <c r="AA280" s="30">
        <v>1187.989990234375</v>
      </c>
      <c r="AB280" s="30">
        <v>66.430000305175781</v>
      </c>
      <c r="AC280" s="30">
        <v>24.909999847412109</v>
      </c>
      <c r="AD280" s="25">
        <f t="shared" si="72"/>
        <v>984.09999260535619</v>
      </c>
      <c r="AE280" s="26">
        <v>964.93845426119299</v>
      </c>
      <c r="AF280" s="26">
        <v>19.161538344163162</v>
      </c>
      <c r="AG280" s="26">
        <v>0</v>
      </c>
      <c r="AH280" s="25">
        <f t="shared" si="73"/>
        <v>4.092871869245676</v>
      </c>
      <c r="AI280" s="25">
        <f t="shared" si="74"/>
        <v>4.0131790312723012</v>
      </c>
      <c r="AJ280" s="25">
        <f t="shared" si="75"/>
        <v>7.9692837973374592E-2</v>
      </c>
      <c r="AK280" s="25">
        <f t="shared" si="76"/>
        <v>0</v>
      </c>
      <c r="BA280" s="34">
        <f t="shared" si="80"/>
        <v>4940850.3693847656</v>
      </c>
      <c r="BB280" s="34">
        <f t="shared" si="81"/>
        <v>276282.37126922607</v>
      </c>
      <c r="BC280" s="34">
        <f t="shared" si="82"/>
        <v>103600.68936538696</v>
      </c>
    </row>
    <row r="281" spans="2:55">
      <c r="B281" s="2" t="s">
        <v>66</v>
      </c>
      <c r="C281" s="2" t="s">
        <v>67</v>
      </c>
      <c r="D281" s="2" t="s">
        <v>81</v>
      </c>
      <c r="E281" s="2" t="s">
        <v>79</v>
      </c>
      <c r="F281" s="2" t="s">
        <v>68</v>
      </c>
      <c r="G281" s="2" t="s">
        <v>80</v>
      </c>
      <c r="H281" s="2" t="s">
        <v>117</v>
      </c>
      <c r="I281" s="2" t="s">
        <v>117</v>
      </c>
      <c r="J281" s="2" t="s">
        <v>117</v>
      </c>
      <c r="K281" s="2" t="s">
        <v>82</v>
      </c>
      <c r="L281" s="2" t="s">
        <v>99</v>
      </c>
      <c r="M281" s="2" t="s">
        <v>91</v>
      </c>
      <c r="N281" s="2" t="s">
        <v>115</v>
      </c>
      <c r="O281" s="2" t="s">
        <v>117</v>
      </c>
      <c r="P281" s="2" t="s">
        <v>111</v>
      </c>
      <c r="Q281" s="31">
        <v>0</v>
      </c>
      <c r="R281" s="2" t="s">
        <v>117</v>
      </c>
      <c r="S281" s="2" t="s">
        <v>103</v>
      </c>
      <c r="T281" s="20">
        <v>46204</v>
      </c>
      <c r="U281" s="32">
        <v>3</v>
      </c>
      <c r="V281" s="32">
        <v>2</v>
      </c>
      <c r="W281" s="22">
        <f t="shared" si="77"/>
        <v>1300</v>
      </c>
      <c r="X281" s="22">
        <v>13380</v>
      </c>
      <c r="Y281" s="23">
        <f t="shared" si="78"/>
        <v>20429.521147155763</v>
      </c>
      <c r="Z281" s="24">
        <f t="shared" si="79"/>
        <v>1526.8700408935547</v>
      </c>
      <c r="AA281" s="30">
        <v>1376.0400390625</v>
      </c>
      <c r="AB281" s="30">
        <v>120.37000274658203</v>
      </c>
      <c r="AC281" s="30">
        <v>30.459999084472656</v>
      </c>
      <c r="AD281" s="25">
        <f t="shared" si="72"/>
        <v>1174.5154160719651</v>
      </c>
      <c r="AE281" s="26">
        <v>1151.0846475454478</v>
      </c>
      <c r="AF281" s="26">
        <v>23.430768526517429</v>
      </c>
      <c r="AG281" s="26">
        <v>0</v>
      </c>
      <c r="AH281" s="25">
        <f t="shared" si="73"/>
        <v>15.715016267042891</v>
      </c>
      <c r="AI281" s="25">
        <f t="shared" si="74"/>
        <v>15.401512584158091</v>
      </c>
      <c r="AJ281" s="25">
        <f t="shared" si="75"/>
        <v>0.31350368288480324</v>
      </c>
      <c r="AK281" s="25">
        <f t="shared" si="76"/>
        <v>0</v>
      </c>
      <c r="BA281" s="34">
        <f t="shared" si="80"/>
        <v>18411415.72265625</v>
      </c>
      <c r="BB281" s="34">
        <f t="shared" si="81"/>
        <v>1610550.6367492676</v>
      </c>
      <c r="BC281" s="34">
        <f t="shared" si="82"/>
        <v>407554.78775024414</v>
      </c>
    </row>
    <row r="282" spans="2:55">
      <c r="B282" s="2" t="s">
        <v>66</v>
      </c>
      <c r="C282" s="2" t="s">
        <v>67</v>
      </c>
      <c r="D282" s="2" t="s">
        <v>81</v>
      </c>
      <c r="E282" s="2" t="s">
        <v>79</v>
      </c>
      <c r="F282" s="2" t="s">
        <v>68</v>
      </c>
      <c r="G282" s="2" t="s">
        <v>80</v>
      </c>
      <c r="H282" s="2" t="s">
        <v>117</v>
      </c>
      <c r="I282" s="2" t="s">
        <v>117</v>
      </c>
      <c r="J282" s="2" t="s">
        <v>117</v>
      </c>
      <c r="K282" s="2" t="s">
        <v>82</v>
      </c>
      <c r="L282" s="2" t="s">
        <v>99</v>
      </c>
      <c r="M282" s="2" t="s">
        <v>91</v>
      </c>
      <c r="N282" s="2" t="s">
        <v>115</v>
      </c>
      <c r="O282" s="2" t="s">
        <v>117</v>
      </c>
      <c r="P282" s="2" t="s">
        <v>111</v>
      </c>
      <c r="Q282" s="31">
        <v>0</v>
      </c>
      <c r="R282" s="2" t="s">
        <v>117</v>
      </c>
      <c r="S282" s="2" t="s">
        <v>104</v>
      </c>
      <c r="T282" s="20">
        <v>46204</v>
      </c>
      <c r="U282" s="32">
        <v>3</v>
      </c>
      <c r="V282" s="32">
        <v>2</v>
      </c>
      <c r="W282" s="22">
        <f t="shared" si="77"/>
        <v>1300</v>
      </c>
      <c r="X282" s="22">
        <v>28302</v>
      </c>
      <c r="Y282" s="23">
        <f t="shared" si="78"/>
        <v>40009.970140551566</v>
      </c>
      <c r="Z282" s="24">
        <f t="shared" si="79"/>
        <v>1413.6799569129944</v>
      </c>
      <c r="AA282" s="30">
        <v>1343.5799560546875</v>
      </c>
      <c r="AB282" s="30">
        <v>62.630001068115234</v>
      </c>
      <c r="AC282" s="30">
        <v>7.4699997901916504</v>
      </c>
      <c r="AD282" s="25">
        <f t="shared" si="72"/>
        <v>1087.4461207023035</v>
      </c>
      <c r="AE282" s="26">
        <v>1081.6999670175408</v>
      </c>
      <c r="AF282" s="26">
        <v>5.7461536847628079</v>
      </c>
      <c r="AG282" s="26">
        <v>0</v>
      </c>
      <c r="AH282" s="25">
        <f t="shared" si="73"/>
        <v>30.776900108116592</v>
      </c>
      <c r="AI282" s="25">
        <f t="shared" si="74"/>
        <v>30.614272466530437</v>
      </c>
      <c r="AJ282" s="25">
        <f t="shared" si="75"/>
        <v>0.162627641586157</v>
      </c>
      <c r="AK282" s="25">
        <f t="shared" si="76"/>
        <v>0</v>
      </c>
      <c r="BA282" s="34">
        <f t="shared" si="80"/>
        <v>38025999.916259766</v>
      </c>
      <c r="BB282" s="34">
        <f t="shared" si="81"/>
        <v>1772554.2902297974</v>
      </c>
      <c r="BC282" s="34">
        <f t="shared" si="82"/>
        <v>211415.93406200409</v>
      </c>
    </row>
  </sheetData>
  <phoneticPr fontId="3" type="noConversion"/>
  <pageMargins left="0.7" right="0.7" top="0.75" bottom="0.75" header="0.3" footer="0.3"/>
  <pageSetup paperSize="9" orientation="portrait" verticalDpi="0" r:id="rId1"/>
  <headerFooter>
    <oddFooter>&amp;L_x000D_&amp;1#&amp;"Aptos"&amp;10&amp;K000000 본 문서는 현대제철의 정보자산으로 관련 법령에 의해 보호 받습니다.</oddFooter>
  </headerFooter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후판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최희영 매니저 마케팅전략팀</dc:creator>
  <cp:lastModifiedBy>x54159@365mmt.com</cp:lastModifiedBy>
  <dcterms:created xsi:type="dcterms:W3CDTF">2025-12-31T03:42:31Z</dcterms:created>
  <dcterms:modified xsi:type="dcterms:W3CDTF">2026-09-01T05:40:55Z</dcterms:modified>
</cp:coreProperties>
</file>